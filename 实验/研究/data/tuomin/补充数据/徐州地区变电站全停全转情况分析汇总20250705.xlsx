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160"/>
  </bookViews>
  <sheets>
    <sheet name="负荷高峰期间变电站全停全转 " sheetId="2" r:id="rId1"/>
    <sheet name="导出计数_变电站_1" sheetId="4" r:id="rId2"/>
    <sheet name="导出计数_变电站" sheetId="3" r:id="rId3"/>
  </sheets>
  <definedNames>
    <definedName name="_xlnm._FilterDatabase" localSheetId="0" hidden="1">'负荷高峰期间变电站全停全转 '!$A$2:$W$424</definedName>
  </definedNames>
  <calcPr calcId="144525"/>
</workbook>
</file>

<file path=xl/sharedStrings.xml><?xml version="1.0" encoding="utf-8"?>
<sst xmlns="http://schemas.openxmlformats.org/spreadsheetml/2006/main" count="2716" uniqueCount="971">
  <si>
    <t>2025年7月5日负荷高峰期间变电站全停全转分析</t>
  </si>
  <si>
    <t>地区</t>
  </si>
  <si>
    <t>电压等级</t>
  </si>
  <si>
    <t>变电站</t>
  </si>
  <si>
    <t>是否可以全停全传</t>
  </si>
  <si>
    <r>
      <rPr>
        <b/>
        <sz val="12"/>
        <rFont val="Arial"/>
        <charset val="0"/>
      </rPr>
      <t>10</t>
    </r>
    <r>
      <rPr>
        <b/>
        <sz val="12"/>
        <rFont val="宋体"/>
        <charset val="0"/>
      </rPr>
      <t>千伏线路条数</t>
    </r>
  </si>
  <si>
    <r>
      <rPr>
        <b/>
        <sz val="12"/>
        <rFont val="Arial"/>
        <charset val="0"/>
      </rPr>
      <t>10</t>
    </r>
    <r>
      <rPr>
        <b/>
        <sz val="12"/>
        <rFont val="宋体"/>
        <charset val="0"/>
      </rPr>
      <t>千伏站外联络线路条数</t>
    </r>
  </si>
  <si>
    <t>10千伏站外联络率（%）</t>
  </si>
  <si>
    <r>
      <rPr>
        <b/>
        <sz val="12"/>
        <rFont val="Arial"/>
        <charset val="0"/>
      </rPr>
      <t>10</t>
    </r>
    <r>
      <rPr>
        <b/>
        <sz val="12"/>
        <rFont val="宋体"/>
        <charset val="0"/>
      </rPr>
      <t>千伏对无对外外联线路</t>
    </r>
  </si>
  <si>
    <t>不具备全停全转原因</t>
  </si>
  <si>
    <r>
      <rPr>
        <b/>
        <sz val="12"/>
        <rFont val="宋体"/>
        <charset val="0"/>
      </rPr>
      <t>站外最大可供负荷（</t>
    </r>
    <r>
      <rPr>
        <b/>
        <sz val="12"/>
        <rFont val="Arial"/>
        <charset val="0"/>
      </rPr>
      <t>MW</t>
    </r>
    <r>
      <rPr>
        <b/>
        <sz val="12"/>
        <rFont val="宋体"/>
        <charset val="0"/>
      </rPr>
      <t>）</t>
    </r>
  </si>
  <si>
    <r>
      <rPr>
        <b/>
        <sz val="12"/>
        <rFont val="宋体"/>
        <charset val="0"/>
      </rPr>
      <t>损失负荷（</t>
    </r>
    <r>
      <rPr>
        <b/>
        <sz val="12"/>
        <rFont val="Arial"/>
        <charset val="0"/>
      </rPr>
      <t>MW</t>
    </r>
    <r>
      <rPr>
        <b/>
        <sz val="12"/>
        <rFont val="宋体"/>
        <charset val="0"/>
      </rPr>
      <t>）</t>
    </r>
  </si>
  <si>
    <t>损失负荷类型</t>
  </si>
  <si>
    <t>站外负荷转供率（%）</t>
  </si>
  <si>
    <t>不能转供线路
明细</t>
  </si>
  <si>
    <t>不能转供线路负荷</t>
  </si>
  <si>
    <t>配电变压器数量</t>
  </si>
  <si>
    <t>线路性质</t>
  </si>
  <si>
    <t>所属网格类型</t>
  </si>
  <si>
    <t>损失时户</t>
  </si>
  <si>
    <t>变化</t>
  </si>
  <si>
    <t>项目储备情况</t>
  </si>
  <si>
    <t>睢宁</t>
  </si>
  <si>
    <t>220kV</t>
  </si>
  <si>
    <t>子仙变</t>
  </si>
  <si>
    <t>是</t>
  </si>
  <si>
    <t>单辐射线路：仙西线、仙兴线（公线）；
冷备：仙工线</t>
  </si>
  <si>
    <t>D</t>
  </si>
  <si>
    <t>童画变</t>
  </si>
  <si>
    <t>单辐射线路：童梁线（公线）
  同站联络线路：童叶线、童东线、童街线（公线）
冷备用：童李线、童刘线、童高线</t>
  </si>
  <si>
    <t>110kV</t>
  </si>
  <si>
    <t>睢宁变</t>
  </si>
  <si>
    <t>否</t>
  </si>
  <si>
    <t>单辐射线路：睢新线（公线）、睢星线、睢纱线、睢星2线（专线）
同站联络线路：睢西线、睢同线、睢万线、睢成线、睢河线、睢蓝线、（公线）</t>
  </si>
  <si>
    <t>睢宁变1、4母线由于对外联络线路较少且负荷较重而无法全停全转，具体原因如下：
（1）睢宁变1、4母线共24条出线中仅有12条存在对外联络，且1、4母线出线和转供联络线路均负荷较重，可用容量不足串供母线，睢潘1线负荷重
（2）存在睢星线、睢纱线、睢星2线三条专线；</t>
  </si>
  <si>
    <t>公线、专线</t>
  </si>
  <si>
    <t>睢同线</t>
  </si>
  <si>
    <t>公线</t>
  </si>
  <si>
    <t>B</t>
  </si>
  <si>
    <t>睢成线</t>
  </si>
  <si>
    <t>睢秦1线</t>
  </si>
  <si>
    <t>睢秦2线</t>
  </si>
  <si>
    <t>睢国线</t>
  </si>
  <si>
    <t>睢星线</t>
  </si>
  <si>
    <t>专线</t>
  </si>
  <si>
    <t>睢星2线</t>
  </si>
  <si>
    <t>睢潘1线</t>
  </si>
  <si>
    <t>睢纱线</t>
  </si>
  <si>
    <t>联群变</t>
  </si>
  <si>
    <t>单辐射线路：联西线（公线）、联水线（专线）、联铁1线（专线）、联龙线（专线）、联铁2线（专线）
同站联络线路：联东线、联北线、联南线
、联场2线、联八1线、联学线、联佳线（公线）</t>
  </si>
  <si>
    <t>联群变由于对外联络线路较少且负荷较重而无法全停全转，具体原因如下：
（1）联群变共29条出线中有12条无对外联络，联民线对端容量不足，出线和转供联络线路总体上负荷较重，可用容量不足串供母线
（2）存在联水线、联铁1线、联龙线、联铁2线四条专线；
（3)联西线公线为单辐射线路，且用电负荷较大，无法串供；</t>
  </si>
  <si>
    <t>联民线</t>
  </si>
  <si>
    <t>C</t>
  </si>
  <si>
    <t>联西线</t>
  </si>
  <si>
    <t>联铁1线</t>
  </si>
  <si>
    <t>联铁2线</t>
  </si>
  <si>
    <t>联水线</t>
  </si>
  <si>
    <t>联场2线</t>
  </si>
  <si>
    <t>联龙线</t>
  </si>
  <si>
    <t>方杨变</t>
  </si>
  <si>
    <t>单辐射线路：方中线（专线）、方同线（专线）、方宝线（专线）
同站联络线路：方东线、方武线、方前线
、方井线、方王线（公线）</t>
  </si>
  <si>
    <t>徐沙河变</t>
  </si>
  <si>
    <t>单辐射线路：徐天线、徐宁线、徐桥线、徐纺线、徐虹线、徐酒线（公线）
同站联络线路：徐发线、徐开线、徐德线、徐园1线、徐园2线、徐刘2线、徐明线、徐睢南线（公线）</t>
  </si>
  <si>
    <t>徐沙河变由于对外联络线路较少且负荷较重而无法全停全转，具体原因如下：
（1）徐沙河变27条出线中有14条无对外联络，出线用电负荷较大，无法通过串供母线供电
（2）存在徐天线、徐宁线、徐桥线、徐纺线、徐虹线、徐酒线等6条单辐射线路；</t>
  </si>
  <si>
    <t>徐刘2线</t>
  </si>
  <si>
    <t>徐虹线</t>
  </si>
  <si>
    <t>徐睢南线</t>
  </si>
  <si>
    <t>秦庄变</t>
  </si>
  <si>
    <t>同站联络线路：秦钢线、秦东线、秦华线、秦商线、秦城线、秦仝线、秦鼎线（公线）</t>
  </si>
  <si>
    <t>秦庄变出线负荷较重，部分联络线路容量不足而无法全停全转，具体原因如下：
   秦庄变虽有20条出线有对外联络，但秦中线、秦九线、秦宁线等线路对侧线路容量不足，且公线用电负荷普遍较重，无法通过串供母线供电；</t>
  </si>
  <si>
    <t>秦中线</t>
  </si>
  <si>
    <t>秦九线</t>
  </si>
  <si>
    <t>秦宁线</t>
  </si>
  <si>
    <t>秦虹线</t>
  </si>
  <si>
    <t>秦北线</t>
  </si>
  <si>
    <t>高李变</t>
  </si>
  <si>
    <t>同站联络线路：高刘线、高作线、高阳线、高联线、高张线（公线）
冷备：高中线、高邱线</t>
  </si>
  <si>
    <t>高李变6段母线无任何外站拉手而无法实现全停全转，具体原因如下：
（1）高李变6段母线5条出线均为站内联络，3段母线上无出线，不能采用母联串供；
（2）高仝线、高新线对侧线路容量不足，无法转供，出线负荷重，母线无法串供</t>
  </si>
  <si>
    <t>高刘线</t>
  </si>
  <si>
    <t>高作线</t>
  </si>
  <si>
    <t>高阳线</t>
  </si>
  <si>
    <t>高联线</t>
  </si>
  <si>
    <t>双沟变</t>
  </si>
  <si>
    <t>单辐射线路：双铁1线、双铁2线（专线）
同站联络线路：双临线、双西线、双纪1线、双徐1线、双华线、双溪线、双上线、双中双时线、双徐2线、双纪2线、双孟线（公线）</t>
  </si>
  <si>
    <t>双沟变由于对外联络线路较少、负荷较重而无法全停全转，具体原因如下：
（1）双沟变共19条出线中只有6条存在外站联络，且对侧线路容量不足。
（2）存在3泵站线、4泵站线、双铁1线、双铁2线四条专线；</t>
  </si>
  <si>
    <t>双临线</t>
  </si>
  <si>
    <t>双西线</t>
  </si>
  <si>
    <t>双苏线</t>
  </si>
  <si>
    <t>双徐2线</t>
  </si>
  <si>
    <t>双纪1线</t>
  </si>
  <si>
    <t>双上线</t>
  </si>
  <si>
    <t>双中、双时线</t>
  </si>
  <si>
    <t>双铁2线</t>
  </si>
  <si>
    <t>凌城变</t>
  </si>
  <si>
    <t>单辐射线路：凌工线（公线）、凌大线（专线）
同站联络线路：凌付线、凌闸线、凌街线、凌新线、凌前线、凌徐线、凌文线（公线）</t>
  </si>
  <si>
    <t>凌城变由于对外联络线路较少、负荷较重而无法全停全转，具体原因如下：
（1）凌城变共14条出线中只有5条存在外站联络，且对侧线路容量不足。
（2）存在凌工线、凌大线两条单辐射线路；</t>
  </si>
  <si>
    <t>凌闸线</t>
  </si>
  <si>
    <t>凌新线</t>
  </si>
  <si>
    <t>凌前线</t>
  </si>
  <si>
    <t>凌街线</t>
  </si>
  <si>
    <t>凌付线</t>
  </si>
  <si>
    <t>凌张线</t>
  </si>
  <si>
    <t>凌胜线</t>
  </si>
  <si>
    <t>凌文线</t>
  </si>
  <si>
    <t>凌工线</t>
  </si>
  <si>
    <t>凌大线</t>
  </si>
  <si>
    <t>古邳变</t>
  </si>
  <si>
    <t>同站联络线路：古西线、古水线、古街线、古巨线、古北线（公线）</t>
  </si>
  <si>
    <t>古邳变由于对外联络线路较少、负荷较重而无法全停全转，具体原因如下：
古邳变共8条出线中只有3条存在外站联络，且对侧线路容量不足。</t>
  </si>
  <si>
    <t>古西线</t>
  </si>
  <si>
    <t>古街线</t>
  </si>
  <si>
    <t>古北线</t>
  </si>
  <si>
    <t>鲁庙变</t>
  </si>
  <si>
    <t>单辐射线路：鲁佳线（专线）
同站联络线路：鲁田线、鲁盛线、鲁园线、鲁街线、鲁工线、鲁孙线（公线）</t>
  </si>
  <si>
    <t>姚集变</t>
  </si>
  <si>
    <t>单辐射线路：姚王线（公线）冷备：姚北线、姚西线、姚位线、姚东线
同站联络线路：姚瑞线、姚黄线、姚街线、姚高线、（公线）</t>
  </si>
  <si>
    <t>沙集变</t>
  </si>
  <si>
    <t>单辐射线路：沙源线（专线）、沙岗线（公线）
同站联络线路:沙庄1线、沙王线、沙东线、沙兴线、沙仝线、沙庄2线、沙圩线、沙楼线、沙北线、沙南线（公线）</t>
  </si>
  <si>
    <t>沙集变由于对外联络线路较少、负荷较重而无法全停全转，具体原因如下：
（1）沙集变共15条出线中只有3条存在外站联络，串供母线时对侧线路容量不足。
（2）存在沙源线用户专线、沙岗线单辐射线路；</t>
  </si>
  <si>
    <t>沙庄1线</t>
  </si>
  <si>
    <t>沙王线</t>
  </si>
  <si>
    <t>沙岗线</t>
  </si>
  <si>
    <t>沙东线</t>
  </si>
  <si>
    <t>沙兴线</t>
  </si>
  <si>
    <t>沙仝线</t>
  </si>
  <si>
    <t>沙源线</t>
  </si>
  <si>
    <t>沙庄2线</t>
  </si>
  <si>
    <t>沙圩线</t>
  </si>
  <si>
    <t>沙北线</t>
  </si>
  <si>
    <t>沙楼线</t>
  </si>
  <si>
    <t>沙南线</t>
  </si>
  <si>
    <t>安宁变</t>
  </si>
  <si>
    <t>单辐射线路：安华1线、安华2线（专线）、安工线（公线）
同站联络线路:安新1线、安圩线、安新2线（公线）</t>
  </si>
  <si>
    <t>官山变</t>
  </si>
  <si>
    <t>单辐射线路：官兴线、官紫线、官厂线（专线）、官华线（公线）
同站联络线路:官圩线、官黄线（公线）</t>
  </si>
  <si>
    <t>官山变由于对外联络线路较少、负荷较重而无法全停全转，具体原因如下：
（1）官山变共13条出线中只有7条存在外站联络，串供母线时对侧线路容量不足。
（2）存在官兴线、官华线、官紫线、官厂线等单辐射线路</t>
  </si>
  <si>
    <t>官黄线</t>
  </si>
  <si>
    <t>官圩线</t>
  </si>
  <si>
    <t>官兴线</t>
  </si>
  <si>
    <t>官厂线</t>
  </si>
  <si>
    <t>官紫线</t>
  </si>
  <si>
    <t>官华线</t>
  </si>
  <si>
    <t>潼泽变</t>
  </si>
  <si>
    <t>同站联络线路:泽安线、泽园线、泽周线、泽郝线、泽潘线泽李1线、泽李2线、泽中线、泽南线、泽徐线、泽街线、泽北线（公线）</t>
  </si>
  <si>
    <t>潼泽变由于对外联络线路较少而无法全停全转，具体原因如下：
（1）潼泽变共15条出线中只有3条存在外站联络，串供母线时对侧线路容量不足。</t>
  </si>
  <si>
    <t>泽周线</t>
  </si>
  <si>
    <t>泽南线</t>
  </si>
  <si>
    <t>泽徐线</t>
  </si>
  <si>
    <t>泽中线</t>
  </si>
  <si>
    <t>泽李2线</t>
  </si>
  <si>
    <t>岚山变</t>
  </si>
  <si>
    <t>同站联络线路：岚新线、岚赵线、岚庄线、岚戈线（公线）</t>
  </si>
  <si>
    <t>空港变</t>
  </si>
  <si>
    <t>单辐射线路：空园线（公线）
同站联络线路:空杭线（公线）</t>
  </si>
  <si>
    <t>山水变</t>
  </si>
  <si>
    <t>单辐射线路：山河线（公线）</t>
  </si>
  <si>
    <t>腊园变</t>
  </si>
  <si>
    <t>单辐射线路：腊梁线（公线）</t>
  </si>
  <si>
    <t>35kV</t>
  </si>
  <si>
    <t>蒲棠变</t>
  </si>
  <si>
    <t>同站联络线路:蒲张线、蒲北线（公线）</t>
  </si>
  <si>
    <t>九镜湖变</t>
  </si>
  <si>
    <t>张圩变</t>
  </si>
  <si>
    <t>同站联络：张陈线、张南线、张圩线（公线）
冷备用：张峰线</t>
  </si>
  <si>
    <t>邱集变</t>
  </si>
  <si>
    <t>同站联络线路：邱集线、邱五线（公线）</t>
  </si>
  <si>
    <t>高集变</t>
  </si>
  <si>
    <t>单辐射线路：高金线（专线）</t>
  </si>
  <si>
    <t>高金线为大用户专线，无联络，母线串供时容量不足，需停高金线负荷</t>
  </si>
  <si>
    <t>高金线</t>
  </si>
  <si>
    <t>桃园变</t>
  </si>
  <si>
    <t>单辐射线路：桃常线（公线）
冷备用:桃东线</t>
  </si>
  <si>
    <t>邳州</t>
  </si>
  <si>
    <t>新桥变</t>
  </si>
  <si>
    <t>同站联络线路：桥南线</t>
  </si>
  <si>
    <t>邳城变</t>
  </si>
  <si>
    <t>10</t>
  </si>
  <si>
    <t>同站联络线路：城元线、城高线、城葛线</t>
  </si>
  <si>
    <t>邢楼变</t>
  </si>
  <si>
    <t>8</t>
  </si>
  <si>
    <t>同站联络线路：邢刘线、邢东线、邢桥线、邢长线</t>
  </si>
  <si>
    <t>柳家变</t>
  </si>
  <si>
    <t>单幅射线路：柳兰线（邳州首控光伏科技发展有限公司）                         同站联络线路：柳河线、柳陈线</t>
  </si>
  <si>
    <t>戴庄变</t>
  </si>
  <si>
    <t>汶河变</t>
  </si>
  <si>
    <t>11</t>
  </si>
  <si>
    <t>单幅射线路：汶海线                                                   同站联络线路：汶镇线、汶农线、汶街线、汶谭线。</t>
  </si>
  <si>
    <t xml:space="preserve">汶河变由于对外联络较少、全站负荷重原因导致无法全停全转，具体原因如下：                         （1）汶河变共11条出线，仅有汶东线等6条线路与站外有联络线路，且对侧线路容量不足；              （2）汶海线1条公线为单幅射线路，无对外联络；                                            </t>
  </si>
  <si>
    <t>车夫山变</t>
  </si>
  <si>
    <t>6</t>
  </si>
  <si>
    <t>同站联络线路：车刘线、车东线、车南线、车滩线</t>
  </si>
  <si>
    <t xml:space="preserve">车夫山变由于对外联络较少、全站负荷重原因导致无法全停全转，具体原因如下：                         （1）车夫山变共6条出线，仅有车湖线等2条线路与站外有联络线路，且对侧线路容量不足。                                                    </t>
  </si>
  <si>
    <t>坊上变</t>
  </si>
  <si>
    <t>20</t>
  </si>
  <si>
    <t>单幅射线路：坊工线、坊源线（徐州龙兴泰能源科技有限公司）（专线）                        同站联络线路：、坊沟线、坊林线、坊泰线、坊西线、坊农线、坊东线、坊镇线</t>
  </si>
  <si>
    <t xml:space="preserve">坊上变由于对外联络较少、全站负荷重原因导致无法全停全转，具体原因如下：                         （1）坊上变共20条出线，仅有坊新线、坊城线等11条线路与站外有联络线路，且对侧线路容量不足；     （2）坊工线1条公线为单幅射线路，无对外联络；                   （3）有坊源线1条专线线路。                                 </t>
  </si>
  <si>
    <t>铁富变</t>
  </si>
  <si>
    <t>单幅射线路：铁管线（江苏大力神管桩有限公司）（专线）                    同站联络线路：铁南线、铁膏线、铁汤线、铁东线、铁沟线</t>
  </si>
  <si>
    <t xml:space="preserve">铁富山变由于对外联络较少、全站负荷重原因导致无法全停全转，具体原因如下：                         （1）铁富山变共11条出线，仅有铁埠线等4条线路与站外有联络线路，且对侧线路容量不足；             （2）有铁管线1条专线线路。                                                    </t>
  </si>
  <si>
    <t>果园变</t>
  </si>
  <si>
    <t>12</t>
  </si>
  <si>
    <t>同站联络线路：果邵线、果新线、果欧线</t>
  </si>
  <si>
    <t xml:space="preserve">果园变由于对外联络较少、全站负荷重原因导致无法全停全转，具体原因如下：                         （1）果园变共12条出线，仅有果丁线、果李线等9条线路与站外有联络线路，且对侧线路容量不足。                                                        </t>
  </si>
  <si>
    <t>新集变</t>
  </si>
  <si>
    <t>7</t>
  </si>
  <si>
    <t>单幅射线路：新源线（徐州丰源水泥有限公司）                            同站联络线路：新镇线</t>
  </si>
  <si>
    <t xml:space="preserve">新集变由于对外联络较少、全站负荷重原因导致无法全停全转，具体原因如下：                         （1）新集变共7条出线，仅有新源线等5条线路与站外有联络线路，且对侧线路容量不足；                                 （2）有新源线1条专线线路。                                 </t>
  </si>
  <si>
    <t>八路变</t>
  </si>
  <si>
    <t>同站联络线路：八中线、八杨线</t>
  </si>
  <si>
    <t xml:space="preserve">八路变由于对外联络较少、全站负荷重原因导致无法全停全转，具体原因如下：                         （1）八路变共8条出线，仅有八祠线等6条线路与站外有联络线路，且对侧线路容量不足。                                                        </t>
  </si>
  <si>
    <t>土山变</t>
  </si>
  <si>
    <t>15</t>
  </si>
  <si>
    <t>单幅射线路：土希线（邳州新希望六和农牧有限公司）、土滨线、土源线                              同站联络线路：土轧线、土官线、土朱线、土工线、土聂线</t>
  </si>
  <si>
    <t xml:space="preserve">土山变由于对外联络较少、全站负荷重原因导致无法全停全转，具体原因如下：                         （1）土山变共15条出线，仅有土山线、土井线等7条线路与站外有联络线路，且对侧线路容量不足；     （2）土滨线、土源线两条公线为单幅射线路，无对外联络；                   （3）有土系线一条专线线路。                                 </t>
  </si>
  <si>
    <t>邹庄变</t>
  </si>
  <si>
    <t>同站联络线路：邹镇线、邹东线、邹西线</t>
  </si>
  <si>
    <t xml:space="preserve">邹庄变由于对外联络较少、全站负荷重原因导致无法全停全转，具体原因如下：                         （1）邹庄变共6条出线，仅有邹汉线等3条线路与站外有联络线路，且对侧线路容量不足；   </t>
  </si>
  <si>
    <t>八义集变</t>
  </si>
  <si>
    <t>3</t>
  </si>
  <si>
    <t>同站联络线路：八圩线、八镇线、八园线、八工线、八新线</t>
  </si>
  <si>
    <t xml:space="preserve">八义集变由于对外联络较少、全站负荷重原因导致无法全停全转，具体原因如下：                         （1）八义集变共8条出线，仅有八南线等3条线路与站外有联络线路，且对侧线路容量不足。                                                  </t>
  </si>
  <si>
    <t>吴闸变</t>
  </si>
  <si>
    <t>16</t>
  </si>
  <si>
    <t>同站联络线路：吴塘线、吴尚线、吴园线</t>
  </si>
  <si>
    <t xml:space="preserve">吴闸变由于对外联络较少、全站负荷重原因导致无法全停全转，具体原因如下：                         （1）吴闸变共16条出线，仅有吴天线、吴惠线等13条线路与站外有联络线路，且对侧线路容量不足；                                                                </t>
  </si>
  <si>
    <t>戴圩变</t>
  </si>
  <si>
    <t>23</t>
  </si>
  <si>
    <t>单幅射线路：圩光线（专线）、圩城线（专线）、圩汉线（徐州汉邦橡胶有限公司）、圩国线（国能邳州生物发电有限公司）、圩墨线（方大喜科墨(江苏)针状焦科技有限公司）、圩尼线（卡博特高性能材料(徐州)有限公司）、 圩考线（方大喜科墨(江苏)针状焦科技有限公司）、圩喜线（方大喜科墨(江苏)针状焦科技有限公司）、圩隆线（卡博特高性能材料(徐州)有限公司）、圩斯线（方大喜科墨(江苏)针状焦科技有限公司）                       同站联络线路：圩楚线、圩晶二线、圩中线、圩非二线、圩场线</t>
  </si>
  <si>
    <t xml:space="preserve">戴圩变由于对外联络较少、全站负荷重原因导致无法全停全转，具体原因如下：                         （1）戴圩变共23条出线，仅有圩高线、圩工线等8条线路与站外有联络线路，且对侧线路容量不足；     （2）圩光线2条公线为单幅射线路，无对外联络；                   （3）有圩汉线、圩国线8条专线线路。                                 </t>
  </si>
  <si>
    <t>杜村变</t>
  </si>
  <si>
    <t>34</t>
  </si>
  <si>
    <t>单幅射线路：杜耀线、杜杰一线（徐州和瑞纺织有限公司）                      同站联络线路：杜东线、杜工线、杜安线、杜圩线、杜金线、杜福线</t>
  </si>
  <si>
    <t xml:space="preserve">杜村变由于对外联络较少、全站负荷重原因导致无法全停全转，具体原因如下：                         （1）杜村变共34条出线，仅有杜卡一线、圩工线等26条线路与站外有联络线路，且对侧线路容量不足；     （2）杜耀线1条公线为单幅射线路，无对外联络；                   （3）有杜杰一线1条专线线路。                                 </t>
  </si>
  <si>
    <t>杜发线
杜宝线
杜苏线</t>
  </si>
  <si>
    <t>兴塘变</t>
  </si>
  <si>
    <t>同站联络线路：兴石线、兴工线、兴象线、兴刘线、兴闫线、兴业线、兴东线</t>
  </si>
  <si>
    <t xml:space="preserve">兴塘变由于对外联络较少、全站负荷重原因导致无法全停全转，具体原因如下：                         （1）兴塘变共12条出线，仅有兴园线等5条线路与站外有联络线路，且对侧线路容量不足。                                                        </t>
  </si>
  <si>
    <t>兴龙线
兴闫线</t>
  </si>
  <si>
    <t>富山变</t>
  </si>
  <si>
    <t>单幅射线路：富新线                        同站联络线路：富东线、富官线、富山线、富尤线、富燕线、富棠线、富工线</t>
  </si>
  <si>
    <t xml:space="preserve">富山变由于对外联络较少、全站负荷重原因导致无法全停全转，具体原因如下：                         （1）富山变共11条出线，仅有富车线、富湖线等3条线路与站外有联络线路，且对侧线路容量不足；              （2）富新线1条公线为单幅射线路，无对外联络；                                            </t>
  </si>
  <si>
    <t>富燕线
富湖线
富工线
富山线
富尤线
富棠线</t>
  </si>
  <si>
    <t>宿羊山变</t>
  </si>
  <si>
    <t>同站联络线路：宿农线、宿工线、宿镇线、宿陶线、宿园线、宿盛线、宿新线</t>
  </si>
  <si>
    <t xml:space="preserve">宿羊山变由于对外联络较少、全站负荷重原因导致无法全停全转，具体原因如下：                         （1）八路变共11条出线，仅有宿黄线、宿南线等4条线路与站外有联络线路，且对侧线路容量不足。                                                        </t>
  </si>
  <si>
    <t>宿园线
宿新线</t>
  </si>
  <si>
    <t>大宋变</t>
  </si>
  <si>
    <t>21</t>
  </si>
  <si>
    <t>单幅射线路：宋康线、宋秦线                           同站联络线路：宋太线、宋镇线、宋金线、宋闫线、宋园线、宋新线、宋集线、宋韩线、宋彭线、宋岱线、宋上线、宋产线、宋业线</t>
  </si>
  <si>
    <t xml:space="preserve">大宋变由于对外联络较少、全站负荷重原因导致无法全停全转，具体原因如下：                         （1）大宋变共21条出线，仅有宋井线、宋徐线等6条线路与站外有联络线路，且对侧线路容量不足；     （2）宋康线、宋秦线两条公线为单幅射线路，无对外联络。                                                   </t>
  </si>
  <si>
    <t>宋产线
宋镇线</t>
  </si>
  <si>
    <t>二庙变</t>
  </si>
  <si>
    <t>38</t>
  </si>
  <si>
    <t>单幅射线路：庙高线（江苏高速铁路有限公司）、庙院线、庙城线             同站联络线路：庙南线、庙新线、庙农线、庙水线、庙广线、庙宁一线、庙文线、庙解线</t>
  </si>
  <si>
    <t xml:space="preserve">二庙变由于对外联络较少、全站负荷重原因导致无法全停全转，具体原因如下：                         （1）二庙变共38条出线，仅有庙南线、庙桃线等27条线路与站外有联络线路，且对侧线路容量不足；          （2）庙院线、庙城线两条公线为单幅射线路，无对外联络；         （3）有庙高线一条专线线路。                                 </t>
  </si>
  <si>
    <t>庙桃线
庙阳线
庙南线
庙新线
庙坝线
庙宏一线
庙民线
庙解线
庙宏二线
庙建线
庙北线
庙青线</t>
  </si>
  <si>
    <t>议堂变</t>
  </si>
  <si>
    <t>单幅射线路：议水线（南水北调东线江苏水源有限责任公司）                       同站联络线路：议北线、议港线、议南线、议山线、议工线、议纺线、议东线、议政线、议驰、议楼线、议桥线、议柳线</t>
  </si>
  <si>
    <t xml:space="preserve">议堂变由于对外联络较少、全站负荷重原因导致无法全停全转，具体原因如下：                         （1）议堂变共16条出线，仅有议西线、议朝线等3条线路与站外有联络线路，且对侧线路容量不足；                  （2）有议水线一条专线线路。                                 </t>
  </si>
  <si>
    <t>议纺线
议东线
议山线
议工线
议政线
议驰线</t>
  </si>
  <si>
    <t>河湾变</t>
  </si>
  <si>
    <t>单幅射线路：河水线（邳州水务有限责任公司）、河春线（专线）、河园线、河谷线                                 同站联络线路：河张线、河潮线、河庙线、河徐线、河瑞线、河楼线、河船线</t>
  </si>
  <si>
    <t xml:space="preserve">河湾变由于对外联络较少、全站负荷重原因导致无法全停全转，具体原因如下：                          （1）河湾变共25条出线，仅有河炮线、河西线等14条线路与站外有联络线路，且对侧线路容量不足；          （2）河园线、河谷线两条公线为单幅射线路，无对外联络；          （3）有河水线、河春线两条专线线路。                                 
</t>
  </si>
  <si>
    <t>河东线
河张线
河南线
河园线
河阳线
河水线
河潮线
河镇线
河瑞线</t>
  </si>
  <si>
    <t>专线、公线</t>
  </si>
  <si>
    <t>邳州变</t>
  </si>
  <si>
    <t>22</t>
  </si>
  <si>
    <t>单幅射线路：邳瑞线、邳港线（江苏徐州港务集团邳州港有限公司）                         同站联络线路：邳塘线、邳工线、邳富线、邳索线、邳昌线、邳奥线、邳青线、邳仲线</t>
  </si>
  <si>
    <t xml:space="preserve">邳州变由于对外联络较少、全站负荷重原因导致无法全停全转，具体原因如下：                         （1）邳州变共22条出线，仅有邳华线、邳恒线等5条线路与站外有联络线路，且对侧线路容量不足；                                 （2）有邳瑞线1条公线为单幅射线路，无对外联络；             （3）有邳港线1条专线线路。                                 </t>
  </si>
  <si>
    <t>邳奥线
邳宁线
邳仲线
邳年线</t>
  </si>
  <si>
    <t>墩集变</t>
  </si>
  <si>
    <t>24</t>
  </si>
  <si>
    <t>单幅射线路：墩德线、墩木线、墩春线、墩合线、墩高线（江苏高速铁路有限公司）                               同站联络线路：墩恒线、墩炮线、墩红线、墩宋线、墩阳线、墩金线、墩街线、墩水线、墩范线、墩东线、墩军线、墩工线、墩正线</t>
  </si>
  <si>
    <t xml:space="preserve">墩集变由于对外联络较少、全站负荷重原因导致无法全停全转，具体原因如下：                         （1）墩集变共24条出线，仅有墩龙线、墩池线等6条线路与站外有联络线路，且对侧线路容量不足；                                 （2）有墩德线、墩木线4条公线为单幅射线路，无对外联络；             （3）有墩高线1条专线线路。                                 </t>
  </si>
  <si>
    <t>墩工线
墩振线
墩春线</t>
  </si>
  <si>
    <t>港上变</t>
  </si>
  <si>
    <t>0</t>
  </si>
  <si>
    <t>同站联络线路：港北线、港东线、港镇线、港南线、港合线、港冯线</t>
  </si>
  <si>
    <t>港上变无站外联络</t>
  </si>
  <si>
    <t>港北线
港镇线
港东线
港合线
港冯线
港府线
港南线</t>
  </si>
  <si>
    <t>铜山</t>
  </si>
  <si>
    <t>徐州.毛庄变</t>
  </si>
  <si>
    <t>4</t>
  </si>
  <si>
    <r>
      <rPr>
        <sz val="12"/>
        <rFont val="宋体"/>
        <charset val="0"/>
      </rPr>
      <t>庄亭</t>
    </r>
    <r>
      <rPr>
        <sz val="12"/>
        <rFont val="Arial"/>
        <charset val="0"/>
      </rPr>
      <t>114</t>
    </r>
    <r>
      <rPr>
        <sz val="12"/>
        <rFont val="宋体"/>
        <charset val="0"/>
      </rPr>
      <t>开关</t>
    </r>
    <r>
      <rPr>
        <sz val="12"/>
        <rFont val="Arial"/>
        <charset val="0"/>
      </rPr>
      <t>(</t>
    </r>
    <r>
      <rPr>
        <sz val="12"/>
        <rFont val="宋体"/>
        <charset val="0"/>
      </rPr>
      <t>遥</t>
    </r>
    <r>
      <rPr>
        <sz val="12"/>
        <rFont val="Arial"/>
        <charset val="0"/>
      </rPr>
      <t>)</t>
    </r>
    <r>
      <rPr>
        <sz val="12"/>
        <rFont val="宋体"/>
        <charset val="0"/>
      </rPr>
      <t>（专线）</t>
    </r>
    <r>
      <rPr>
        <sz val="12"/>
        <rFont val="Arial"/>
        <charset val="0"/>
      </rPr>
      <t xml:space="preserve">
</t>
    </r>
    <r>
      <rPr>
        <sz val="12"/>
        <rFont val="宋体"/>
        <charset val="0"/>
      </rPr>
      <t>毛水线</t>
    </r>
    <r>
      <rPr>
        <sz val="12"/>
        <rFont val="Arial"/>
        <charset val="0"/>
      </rPr>
      <t>124</t>
    </r>
    <r>
      <rPr>
        <sz val="12"/>
        <rFont val="宋体"/>
        <charset val="0"/>
      </rPr>
      <t>开关</t>
    </r>
    <r>
      <rPr>
        <sz val="12"/>
        <rFont val="Arial"/>
        <charset val="0"/>
      </rPr>
      <t>(</t>
    </r>
    <r>
      <rPr>
        <sz val="12"/>
        <rFont val="宋体"/>
        <charset val="0"/>
      </rPr>
      <t>遥</t>
    </r>
    <r>
      <rPr>
        <sz val="12"/>
        <rFont val="Arial"/>
        <charset val="0"/>
      </rPr>
      <t>)</t>
    </r>
    <r>
      <rPr>
        <sz val="12"/>
        <rFont val="宋体"/>
        <charset val="0"/>
      </rPr>
      <t>（专线）</t>
    </r>
  </si>
  <si>
    <t>徐州.蔺家坝变</t>
  </si>
  <si>
    <r>
      <rPr>
        <sz val="12"/>
        <rFont val="宋体"/>
        <charset val="0"/>
      </rPr>
      <t>蔺广</t>
    </r>
    <r>
      <rPr>
        <sz val="12"/>
        <rFont val="Arial"/>
        <charset val="0"/>
      </rPr>
      <t>111</t>
    </r>
    <r>
      <rPr>
        <sz val="12"/>
        <rFont val="宋体"/>
        <charset val="0"/>
      </rPr>
      <t>开关</t>
    </r>
    <r>
      <rPr>
        <sz val="12"/>
        <rFont val="Arial"/>
        <charset val="0"/>
      </rPr>
      <t>(</t>
    </r>
    <r>
      <rPr>
        <sz val="12"/>
        <rFont val="宋体"/>
        <charset val="0"/>
      </rPr>
      <t>遥</t>
    </r>
    <r>
      <rPr>
        <sz val="12"/>
        <rFont val="Arial"/>
        <charset val="0"/>
      </rPr>
      <t>)</t>
    </r>
    <r>
      <rPr>
        <sz val="12"/>
        <rFont val="宋体"/>
        <charset val="0"/>
      </rPr>
      <t>（专线）</t>
    </r>
    <r>
      <rPr>
        <sz val="12"/>
        <rFont val="Arial"/>
        <charset val="0"/>
      </rPr>
      <t xml:space="preserve">
</t>
    </r>
    <r>
      <rPr>
        <sz val="12"/>
        <rFont val="宋体"/>
        <charset val="0"/>
      </rPr>
      <t>蔺清一</t>
    </r>
    <r>
      <rPr>
        <sz val="12"/>
        <rFont val="Arial"/>
        <charset val="0"/>
      </rPr>
      <t>113</t>
    </r>
    <r>
      <rPr>
        <sz val="12"/>
        <rFont val="宋体"/>
        <charset val="0"/>
      </rPr>
      <t>开关</t>
    </r>
    <r>
      <rPr>
        <sz val="12"/>
        <rFont val="Arial"/>
        <charset val="0"/>
      </rPr>
      <t>(</t>
    </r>
    <r>
      <rPr>
        <sz val="12"/>
        <rFont val="宋体"/>
        <charset val="0"/>
      </rPr>
      <t>遥</t>
    </r>
    <r>
      <rPr>
        <sz val="12"/>
        <rFont val="Arial"/>
        <charset val="0"/>
      </rPr>
      <t>)</t>
    </r>
    <r>
      <rPr>
        <sz val="12"/>
        <rFont val="宋体"/>
        <charset val="0"/>
      </rPr>
      <t>（专线）</t>
    </r>
    <r>
      <rPr>
        <sz val="12"/>
        <rFont val="Arial"/>
        <charset val="0"/>
      </rPr>
      <t xml:space="preserve">
</t>
    </r>
    <r>
      <rPr>
        <sz val="12"/>
        <rFont val="宋体"/>
        <charset val="0"/>
      </rPr>
      <t>蔺水</t>
    </r>
    <r>
      <rPr>
        <sz val="12"/>
        <rFont val="Arial"/>
        <charset val="0"/>
      </rPr>
      <t>122</t>
    </r>
    <r>
      <rPr>
        <sz val="12"/>
        <rFont val="宋体"/>
        <charset val="0"/>
      </rPr>
      <t>开关</t>
    </r>
    <r>
      <rPr>
        <sz val="12"/>
        <rFont val="Arial"/>
        <charset val="0"/>
      </rPr>
      <t>(</t>
    </r>
    <r>
      <rPr>
        <sz val="12"/>
        <rFont val="宋体"/>
        <charset val="0"/>
      </rPr>
      <t>遥</t>
    </r>
    <r>
      <rPr>
        <sz val="12"/>
        <rFont val="Arial"/>
        <charset val="0"/>
      </rPr>
      <t>)</t>
    </r>
    <r>
      <rPr>
        <sz val="12"/>
        <rFont val="宋体"/>
        <charset val="0"/>
      </rPr>
      <t>（专线）</t>
    </r>
    <r>
      <rPr>
        <sz val="12"/>
        <rFont val="Arial"/>
        <charset val="0"/>
      </rPr>
      <t xml:space="preserve">
</t>
    </r>
    <r>
      <rPr>
        <sz val="12"/>
        <rFont val="宋体"/>
        <charset val="0"/>
      </rPr>
      <t>蔺清二</t>
    </r>
    <r>
      <rPr>
        <sz val="12"/>
        <rFont val="Arial"/>
        <charset val="0"/>
      </rPr>
      <t>112</t>
    </r>
    <r>
      <rPr>
        <sz val="12"/>
        <rFont val="宋体"/>
        <charset val="0"/>
      </rPr>
      <t>开关</t>
    </r>
    <r>
      <rPr>
        <sz val="12"/>
        <rFont val="Arial"/>
        <charset val="0"/>
      </rPr>
      <t>(</t>
    </r>
    <r>
      <rPr>
        <sz val="12"/>
        <rFont val="宋体"/>
        <charset val="0"/>
      </rPr>
      <t>遥</t>
    </r>
    <r>
      <rPr>
        <sz val="12"/>
        <rFont val="Arial"/>
        <charset val="0"/>
      </rPr>
      <t>)</t>
    </r>
    <r>
      <rPr>
        <sz val="12"/>
        <rFont val="宋体"/>
        <charset val="0"/>
      </rPr>
      <t>（专线）</t>
    </r>
  </si>
  <si>
    <t>徐州.马山变</t>
  </si>
  <si>
    <r>
      <rPr>
        <sz val="12"/>
        <rFont val="宋体"/>
        <charset val="0"/>
      </rPr>
      <t>马东</t>
    </r>
    <r>
      <rPr>
        <sz val="12"/>
        <rFont val="Arial"/>
        <charset val="0"/>
      </rPr>
      <t>115</t>
    </r>
    <r>
      <rPr>
        <sz val="12"/>
        <rFont val="宋体"/>
        <charset val="0"/>
      </rPr>
      <t>开关</t>
    </r>
    <r>
      <rPr>
        <sz val="12"/>
        <rFont val="Arial"/>
        <charset val="0"/>
      </rPr>
      <t xml:space="preserve">
</t>
    </r>
    <r>
      <rPr>
        <sz val="12"/>
        <rFont val="宋体"/>
        <charset val="0"/>
      </rPr>
      <t>马亚</t>
    </r>
    <r>
      <rPr>
        <sz val="12"/>
        <rFont val="Arial"/>
        <charset val="0"/>
      </rPr>
      <t>119</t>
    </r>
    <r>
      <rPr>
        <sz val="12"/>
        <rFont val="宋体"/>
        <charset val="0"/>
      </rPr>
      <t>开关</t>
    </r>
    <r>
      <rPr>
        <sz val="12"/>
        <rFont val="Arial"/>
        <charset val="0"/>
      </rPr>
      <t>(</t>
    </r>
    <r>
      <rPr>
        <sz val="12"/>
        <rFont val="宋体"/>
        <charset val="0"/>
      </rPr>
      <t>遥</t>
    </r>
    <r>
      <rPr>
        <sz val="12"/>
        <rFont val="Arial"/>
        <charset val="0"/>
      </rPr>
      <t>)</t>
    </r>
    <r>
      <rPr>
        <sz val="12"/>
        <rFont val="宋体"/>
        <charset val="0"/>
      </rPr>
      <t>（专线）</t>
    </r>
    <r>
      <rPr>
        <sz val="12"/>
        <rFont val="Arial"/>
        <charset val="0"/>
      </rPr>
      <t xml:space="preserve">
</t>
    </r>
    <r>
      <rPr>
        <sz val="12"/>
        <rFont val="宋体"/>
        <charset val="0"/>
      </rPr>
      <t>马西</t>
    </r>
    <r>
      <rPr>
        <sz val="12"/>
        <rFont val="Arial"/>
        <charset val="0"/>
      </rPr>
      <t>117</t>
    </r>
    <r>
      <rPr>
        <sz val="12"/>
        <rFont val="宋体"/>
        <charset val="0"/>
      </rPr>
      <t>开关</t>
    </r>
  </si>
  <si>
    <t>江苏.位庄变</t>
  </si>
  <si>
    <r>
      <rPr>
        <sz val="12"/>
        <rFont val="宋体"/>
        <charset val="0"/>
      </rPr>
      <t>位农线</t>
    </r>
    <r>
      <rPr>
        <sz val="12"/>
        <rFont val="Arial"/>
        <charset val="0"/>
      </rPr>
      <t>131</t>
    </r>
    <r>
      <rPr>
        <sz val="12"/>
        <rFont val="宋体"/>
        <charset val="0"/>
      </rPr>
      <t>开关</t>
    </r>
    <r>
      <rPr>
        <sz val="12"/>
        <rFont val="Arial"/>
        <charset val="0"/>
      </rPr>
      <t>(</t>
    </r>
    <r>
      <rPr>
        <sz val="12"/>
        <rFont val="宋体"/>
        <charset val="0"/>
      </rPr>
      <t>遥</t>
    </r>
    <r>
      <rPr>
        <sz val="12"/>
        <rFont val="Arial"/>
        <charset val="0"/>
      </rPr>
      <t xml:space="preserve">
</t>
    </r>
    <r>
      <rPr>
        <sz val="12"/>
        <rFont val="宋体"/>
        <charset val="0"/>
      </rPr>
      <t>位集线</t>
    </r>
    <r>
      <rPr>
        <sz val="12"/>
        <rFont val="Arial"/>
        <charset val="0"/>
      </rPr>
      <t>139</t>
    </r>
    <r>
      <rPr>
        <sz val="12"/>
        <rFont val="宋体"/>
        <charset val="0"/>
      </rPr>
      <t>开关</t>
    </r>
    <r>
      <rPr>
        <sz val="12"/>
        <rFont val="Arial"/>
        <charset val="0"/>
      </rPr>
      <t>(</t>
    </r>
    <r>
      <rPr>
        <sz val="12"/>
        <rFont val="宋体"/>
        <charset val="0"/>
      </rPr>
      <t>遥</t>
    </r>
    <r>
      <rPr>
        <sz val="12"/>
        <rFont val="Arial"/>
        <charset val="0"/>
      </rPr>
      <t>)</t>
    </r>
  </si>
  <si>
    <t>徐州.柳泉变</t>
  </si>
  <si>
    <t>柳科115开关(遥)（专线）</t>
  </si>
  <si>
    <t>徐州.檀山变</t>
  </si>
  <si>
    <t>5</t>
  </si>
  <si>
    <t>檀金线124开关(遥)（专线）
檀明线116开关(遥)（专线）</t>
  </si>
  <si>
    <t>徐州.房村变</t>
  </si>
  <si>
    <t>房申线117开关(遥)（专线）</t>
  </si>
  <si>
    <t>张集变</t>
  </si>
  <si>
    <r>
      <rPr>
        <sz val="12"/>
        <rFont val="宋体"/>
        <charset val="134"/>
        <scheme val="minor"/>
      </rPr>
      <t>张特一线</t>
    </r>
    <r>
      <rPr>
        <sz val="12"/>
        <rFont val="宋体"/>
        <charset val="0"/>
        <scheme val="minor"/>
      </rPr>
      <t>111</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t>
    </r>
    <r>
      <rPr>
        <sz val="12"/>
        <rFont val="宋体"/>
        <charset val="0"/>
        <scheme val="minor"/>
      </rPr>
      <t xml:space="preserve">
</t>
    </r>
    <r>
      <rPr>
        <sz val="12"/>
        <rFont val="宋体"/>
        <charset val="134"/>
        <scheme val="minor"/>
      </rPr>
      <t>张郭</t>
    </r>
    <r>
      <rPr>
        <sz val="12"/>
        <rFont val="宋体"/>
        <charset val="0"/>
        <scheme val="minor"/>
      </rPr>
      <t>121</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t>
    </r>
    <r>
      <rPr>
        <sz val="12"/>
        <rFont val="宋体"/>
        <charset val="0"/>
        <scheme val="minor"/>
      </rPr>
      <t xml:space="preserve">
</t>
    </r>
    <r>
      <rPr>
        <sz val="12"/>
        <rFont val="宋体"/>
        <charset val="134"/>
        <scheme val="minor"/>
      </rPr>
      <t>张维</t>
    </r>
    <r>
      <rPr>
        <sz val="12"/>
        <rFont val="宋体"/>
        <charset val="0"/>
        <scheme val="minor"/>
      </rPr>
      <t>127</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（专线）</t>
    </r>
    <r>
      <rPr>
        <sz val="12"/>
        <rFont val="宋体"/>
        <charset val="0"/>
        <scheme val="minor"/>
      </rPr>
      <t xml:space="preserve">
</t>
    </r>
    <r>
      <rPr>
        <sz val="12"/>
        <rFont val="宋体"/>
        <charset val="134"/>
        <scheme val="minor"/>
      </rPr>
      <t>张特二线</t>
    </r>
    <r>
      <rPr>
        <sz val="12"/>
        <rFont val="宋体"/>
        <charset val="0"/>
        <scheme val="minor"/>
      </rPr>
      <t>128</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t>
    </r>
    <r>
      <rPr>
        <sz val="12"/>
        <rFont val="宋体"/>
        <charset val="0"/>
        <scheme val="minor"/>
      </rPr>
      <t xml:space="preserve">
</t>
    </r>
    <r>
      <rPr>
        <sz val="12"/>
        <rFont val="宋体"/>
        <charset val="134"/>
        <scheme val="minor"/>
      </rPr>
      <t>张安二线</t>
    </r>
    <r>
      <rPr>
        <sz val="12"/>
        <rFont val="宋体"/>
        <charset val="0"/>
        <scheme val="minor"/>
      </rPr>
      <t>129</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t>
    </r>
    <r>
      <rPr>
        <sz val="12"/>
        <rFont val="宋体"/>
        <charset val="0"/>
        <scheme val="minor"/>
      </rPr>
      <t xml:space="preserve">
</t>
    </r>
    <r>
      <rPr>
        <sz val="12"/>
        <rFont val="宋体"/>
        <charset val="134"/>
        <scheme val="minor"/>
      </rPr>
      <t>张园</t>
    </r>
    <r>
      <rPr>
        <sz val="12"/>
        <rFont val="宋体"/>
        <charset val="0"/>
        <scheme val="minor"/>
      </rPr>
      <t>126</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（专线）</t>
    </r>
    <r>
      <rPr>
        <sz val="12"/>
        <rFont val="宋体"/>
        <charset val="0"/>
        <scheme val="minor"/>
      </rPr>
      <t xml:space="preserve">
</t>
    </r>
    <r>
      <rPr>
        <sz val="12"/>
        <rFont val="宋体"/>
        <charset val="134"/>
        <scheme val="minor"/>
      </rPr>
      <t>张豆</t>
    </r>
    <r>
      <rPr>
        <sz val="12"/>
        <rFont val="宋体"/>
        <charset val="0"/>
        <scheme val="minor"/>
      </rPr>
      <t>117</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（专线）</t>
    </r>
    <r>
      <rPr>
        <sz val="12"/>
        <rFont val="宋体"/>
        <charset val="0"/>
        <scheme val="minor"/>
      </rPr>
      <t xml:space="preserve">
</t>
    </r>
    <r>
      <rPr>
        <sz val="12"/>
        <rFont val="宋体"/>
        <charset val="134"/>
        <scheme val="minor"/>
      </rPr>
      <t>张集</t>
    </r>
    <r>
      <rPr>
        <sz val="12"/>
        <rFont val="宋体"/>
        <charset val="0"/>
        <scheme val="minor"/>
      </rPr>
      <t>125</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t>
    </r>
    <r>
      <rPr>
        <sz val="12"/>
        <rFont val="宋体"/>
        <charset val="0"/>
        <scheme val="minor"/>
      </rPr>
      <t xml:space="preserve">
</t>
    </r>
    <r>
      <rPr>
        <sz val="12"/>
        <rFont val="宋体"/>
        <charset val="134"/>
        <scheme val="minor"/>
      </rPr>
      <t>张工一</t>
    </r>
    <r>
      <rPr>
        <sz val="12"/>
        <rFont val="宋体"/>
        <charset val="0"/>
        <scheme val="minor"/>
      </rPr>
      <t>113</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t>
    </r>
    <r>
      <rPr>
        <sz val="12"/>
        <rFont val="宋体"/>
        <charset val="0"/>
        <scheme val="minor"/>
      </rPr>
      <t xml:space="preserve">
</t>
    </r>
    <r>
      <rPr>
        <sz val="12"/>
        <rFont val="宋体"/>
        <charset val="134"/>
        <scheme val="minor"/>
      </rPr>
      <t>张孙</t>
    </r>
    <r>
      <rPr>
        <sz val="12"/>
        <rFont val="宋体"/>
        <charset val="0"/>
        <scheme val="minor"/>
      </rPr>
      <t>109</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t>
    </r>
    <r>
      <rPr>
        <sz val="12"/>
        <rFont val="宋体"/>
        <charset val="0"/>
        <scheme val="minor"/>
      </rPr>
      <t xml:space="preserve">
</t>
    </r>
    <r>
      <rPr>
        <sz val="12"/>
        <rFont val="宋体"/>
        <charset val="134"/>
        <scheme val="minor"/>
      </rPr>
      <t>张孟</t>
    </r>
    <r>
      <rPr>
        <sz val="12"/>
        <rFont val="宋体"/>
        <charset val="0"/>
        <scheme val="minor"/>
      </rPr>
      <t>122</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
张安一115开关(遥)（公线）</t>
    </r>
  </si>
  <si>
    <t>张集变由于对端容量不足、没有联络导致线路失电；具体原因如下：
1、有张维线、张园线、张豆线等3条专线；
2、张梁线、张工一线、张集线对端容量不足。</t>
  </si>
  <si>
    <t>张工一线</t>
  </si>
  <si>
    <t>张梁线</t>
  </si>
  <si>
    <t>张集线</t>
  </si>
  <si>
    <t>张郭线</t>
  </si>
  <si>
    <t>张安二线</t>
  </si>
  <si>
    <t>张吕线</t>
  </si>
  <si>
    <t>孙庄变</t>
  </si>
  <si>
    <t>18</t>
  </si>
  <si>
    <r>
      <rPr>
        <sz val="12"/>
        <rFont val="宋体"/>
        <charset val="134"/>
        <scheme val="minor"/>
      </rPr>
      <t>孙园</t>
    </r>
    <r>
      <rPr>
        <sz val="12"/>
        <rFont val="宋体"/>
        <charset val="0"/>
        <scheme val="minor"/>
      </rPr>
      <t>118</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t>
    </r>
    <r>
      <rPr>
        <sz val="12"/>
        <rFont val="宋体"/>
        <charset val="0"/>
        <scheme val="minor"/>
      </rPr>
      <t xml:space="preserve">
</t>
    </r>
    <r>
      <rPr>
        <sz val="12"/>
        <rFont val="宋体"/>
        <charset val="134"/>
        <scheme val="minor"/>
      </rPr>
      <t>孙金一</t>
    </r>
    <r>
      <rPr>
        <sz val="12"/>
        <rFont val="宋体"/>
        <charset val="0"/>
        <scheme val="minor"/>
      </rPr>
      <t>126</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t>
    </r>
    <r>
      <rPr>
        <sz val="12"/>
        <rFont val="宋体"/>
        <charset val="0"/>
        <scheme val="minor"/>
      </rPr>
      <t xml:space="preserve">
</t>
    </r>
    <r>
      <rPr>
        <sz val="12"/>
        <rFont val="宋体"/>
        <charset val="134"/>
        <scheme val="minor"/>
      </rPr>
      <t>孙新</t>
    </r>
    <r>
      <rPr>
        <sz val="12"/>
        <rFont val="宋体"/>
        <charset val="0"/>
        <scheme val="minor"/>
      </rPr>
      <t>125</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t>
    </r>
    <r>
      <rPr>
        <sz val="12"/>
        <rFont val="宋体"/>
        <charset val="0"/>
        <scheme val="minor"/>
      </rPr>
      <t xml:space="preserve">
</t>
    </r>
    <r>
      <rPr>
        <sz val="12"/>
        <rFont val="宋体"/>
        <charset val="134"/>
        <scheme val="minor"/>
      </rPr>
      <t>孙鸿线</t>
    </r>
    <r>
      <rPr>
        <sz val="12"/>
        <rFont val="宋体"/>
        <charset val="0"/>
        <scheme val="minor"/>
      </rPr>
      <t>124</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（专线）</t>
    </r>
    <r>
      <rPr>
        <sz val="12"/>
        <rFont val="宋体"/>
        <charset val="0"/>
        <scheme val="minor"/>
      </rPr>
      <t xml:space="preserve">
</t>
    </r>
    <r>
      <rPr>
        <sz val="12"/>
        <rFont val="宋体"/>
        <charset val="134"/>
        <scheme val="minor"/>
      </rPr>
      <t>孙冯</t>
    </r>
    <r>
      <rPr>
        <sz val="12"/>
        <rFont val="宋体"/>
        <charset val="0"/>
        <scheme val="minor"/>
      </rPr>
      <t>113</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t>
    </r>
    <r>
      <rPr>
        <sz val="12"/>
        <rFont val="宋体"/>
        <charset val="0"/>
        <scheme val="minor"/>
      </rPr>
      <t xml:space="preserve">
</t>
    </r>
    <r>
      <rPr>
        <sz val="12"/>
        <rFont val="宋体"/>
        <charset val="134"/>
        <scheme val="minor"/>
      </rPr>
      <t>孙庄</t>
    </r>
    <r>
      <rPr>
        <sz val="12"/>
        <rFont val="宋体"/>
        <charset val="0"/>
        <scheme val="minor"/>
      </rPr>
      <t>117</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t>
    </r>
    <r>
      <rPr>
        <sz val="12"/>
        <rFont val="宋体"/>
        <charset val="0"/>
        <scheme val="minor"/>
      </rPr>
      <t xml:space="preserve">
</t>
    </r>
    <r>
      <rPr>
        <sz val="12"/>
        <rFont val="宋体"/>
        <charset val="134"/>
        <scheme val="minor"/>
      </rPr>
      <t>孙金二</t>
    </r>
    <r>
      <rPr>
        <sz val="12"/>
        <rFont val="宋体"/>
        <charset val="0"/>
        <scheme val="minor"/>
      </rPr>
      <t>145</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t>
    </r>
    <r>
      <rPr>
        <sz val="12"/>
        <rFont val="宋体"/>
        <charset val="0"/>
        <scheme val="minor"/>
      </rPr>
      <t xml:space="preserve">
</t>
    </r>
    <r>
      <rPr>
        <sz val="12"/>
        <rFont val="宋体"/>
        <charset val="134"/>
        <scheme val="minor"/>
      </rPr>
      <t>孙口</t>
    </r>
    <r>
      <rPr>
        <sz val="12"/>
        <rFont val="宋体"/>
        <charset val="0"/>
        <scheme val="minor"/>
      </rPr>
      <t>132</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t>
    </r>
    <r>
      <rPr>
        <sz val="12"/>
        <rFont val="宋体"/>
        <charset val="0"/>
        <scheme val="minor"/>
      </rPr>
      <t xml:space="preserve">
</t>
    </r>
    <r>
      <rPr>
        <sz val="12"/>
        <rFont val="宋体"/>
        <charset val="134"/>
        <scheme val="minor"/>
      </rPr>
      <t>孙黑</t>
    </r>
    <r>
      <rPr>
        <sz val="12"/>
        <rFont val="宋体"/>
        <charset val="0"/>
        <scheme val="minor"/>
      </rPr>
      <t>146</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（专线）</t>
    </r>
    <r>
      <rPr>
        <sz val="12"/>
        <rFont val="宋体"/>
        <charset val="0"/>
        <scheme val="minor"/>
      </rPr>
      <t xml:space="preserve">
</t>
    </r>
    <r>
      <rPr>
        <sz val="12"/>
        <rFont val="宋体"/>
        <charset val="134"/>
        <scheme val="minor"/>
      </rPr>
      <t>孙柳</t>
    </r>
    <r>
      <rPr>
        <sz val="12"/>
        <rFont val="宋体"/>
        <charset val="0"/>
        <scheme val="minor"/>
      </rPr>
      <t>147</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t>
    </r>
    <r>
      <rPr>
        <sz val="12"/>
        <rFont val="宋体"/>
        <charset val="0"/>
        <scheme val="minor"/>
      </rPr>
      <t xml:space="preserve">
</t>
    </r>
    <r>
      <rPr>
        <sz val="12"/>
        <rFont val="宋体"/>
        <charset val="134"/>
        <scheme val="minor"/>
      </rPr>
      <t>孙水</t>
    </r>
    <r>
      <rPr>
        <sz val="12"/>
        <rFont val="宋体"/>
        <charset val="0"/>
        <scheme val="minor"/>
      </rPr>
      <t>134</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（专线）</t>
    </r>
    <r>
      <rPr>
        <sz val="12"/>
        <rFont val="宋体"/>
        <charset val="0"/>
        <scheme val="minor"/>
      </rPr>
      <t xml:space="preserve">
</t>
    </r>
    <r>
      <rPr>
        <sz val="12"/>
        <rFont val="宋体"/>
        <charset val="134"/>
        <scheme val="minor"/>
      </rPr>
      <t>孙庞</t>
    </r>
    <r>
      <rPr>
        <sz val="12"/>
        <rFont val="宋体"/>
        <charset val="0"/>
        <scheme val="minor"/>
      </rPr>
      <t>136</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t>
    </r>
    <r>
      <rPr>
        <sz val="12"/>
        <rFont val="宋体"/>
        <charset val="0"/>
        <scheme val="minor"/>
      </rPr>
      <t xml:space="preserve">
</t>
    </r>
    <r>
      <rPr>
        <sz val="12"/>
        <rFont val="宋体"/>
        <charset val="134"/>
        <scheme val="minor"/>
      </rPr>
      <t>孙李</t>
    </r>
    <r>
      <rPr>
        <sz val="12"/>
        <rFont val="宋体"/>
        <charset val="0"/>
        <scheme val="minor"/>
      </rPr>
      <t>121</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t>
    </r>
    <r>
      <rPr>
        <sz val="12"/>
        <rFont val="宋体"/>
        <charset val="0"/>
        <scheme val="minor"/>
      </rPr>
      <t xml:space="preserve">
</t>
    </r>
    <r>
      <rPr>
        <sz val="12"/>
        <rFont val="宋体"/>
        <charset val="134"/>
        <scheme val="minor"/>
      </rPr>
      <t>孙苏</t>
    </r>
    <r>
      <rPr>
        <sz val="12"/>
        <rFont val="宋体"/>
        <charset val="0"/>
        <scheme val="minor"/>
      </rPr>
      <t>116</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t>
    </r>
    <r>
      <rPr>
        <sz val="12"/>
        <rFont val="宋体"/>
        <charset val="0"/>
        <scheme val="minor"/>
      </rPr>
      <t xml:space="preserve">
</t>
    </r>
    <r>
      <rPr>
        <sz val="12"/>
        <rFont val="宋体"/>
        <charset val="134"/>
        <scheme val="minor"/>
      </rPr>
      <t>孙杨</t>
    </r>
    <r>
      <rPr>
        <sz val="12"/>
        <rFont val="宋体"/>
        <charset val="0"/>
        <scheme val="minor"/>
      </rPr>
      <t>143</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t>
    </r>
    <r>
      <rPr>
        <sz val="12"/>
        <rFont val="宋体"/>
        <charset val="0"/>
        <scheme val="minor"/>
      </rPr>
      <t xml:space="preserve">
</t>
    </r>
    <r>
      <rPr>
        <sz val="12"/>
        <rFont val="宋体"/>
        <charset val="134"/>
        <scheme val="minor"/>
      </rPr>
      <t>孙圩</t>
    </r>
    <r>
      <rPr>
        <sz val="12"/>
        <rFont val="宋体"/>
        <charset val="0"/>
        <scheme val="minor"/>
      </rPr>
      <t>131</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t>
    </r>
  </si>
  <si>
    <t>孙庄变由于对端容量不足、没有联络导致线路失电；具体原因如下：
1、有孙水线、孙黑线等2条专线；
2、孙苏线、孙口线、孙圩线、孙庞线、孙杨线、孙柳线、孙金二线对端容量不足。</t>
  </si>
  <si>
    <t>台上变</t>
  </si>
  <si>
    <t>1</t>
  </si>
  <si>
    <r>
      <rPr>
        <sz val="12"/>
        <rFont val="宋体"/>
        <charset val="134"/>
        <scheme val="minor"/>
      </rPr>
      <t>台梁</t>
    </r>
    <r>
      <rPr>
        <sz val="12"/>
        <rFont val="宋体"/>
        <charset val="0"/>
        <scheme val="minor"/>
      </rPr>
      <t>122</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t>
    </r>
    <r>
      <rPr>
        <sz val="12"/>
        <rFont val="宋体"/>
        <charset val="0"/>
        <scheme val="minor"/>
      </rPr>
      <t xml:space="preserve">
</t>
    </r>
    <r>
      <rPr>
        <sz val="12"/>
        <rFont val="宋体"/>
        <charset val="134"/>
        <scheme val="minor"/>
      </rPr>
      <t>台开一</t>
    </r>
    <r>
      <rPr>
        <sz val="12"/>
        <rFont val="宋体"/>
        <charset val="0"/>
        <scheme val="minor"/>
      </rPr>
      <t>11G</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t>
    </r>
    <r>
      <rPr>
        <sz val="12"/>
        <rFont val="宋体"/>
        <charset val="0"/>
        <scheme val="minor"/>
      </rPr>
      <t xml:space="preserve">
</t>
    </r>
    <r>
      <rPr>
        <sz val="12"/>
        <rFont val="宋体"/>
        <charset val="134"/>
        <scheme val="minor"/>
      </rPr>
      <t>台开二</t>
    </r>
    <r>
      <rPr>
        <sz val="12"/>
        <rFont val="宋体"/>
        <charset val="0"/>
        <scheme val="minor"/>
      </rPr>
      <t>125</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t>
    </r>
  </si>
  <si>
    <t>台上变由于对端容量不足导致线路失电；具体原因如下：
1、台开二线、台梁线对端容量不足</t>
  </si>
  <si>
    <t>台开一线</t>
  </si>
  <si>
    <t>台梁线</t>
  </si>
  <si>
    <t>黄桥变</t>
  </si>
  <si>
    <t>2</t>
  </si>
  <si>
    <r>
      <rPr>
        <sz val="12"/>
        <rFont val="宋体"/>
        <charset val="134"/>
        <scheme val="minor"/>
      </rPr>
      <t>黄潘</t>
    </r>
    <r>
      <rPr>
        <sz val="12"/>
        <rFont val="宋体"/>
        <charset val="0"/>
        <scheme val="minor"/>
      </rPr>
      <t>116</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t>
    </r>
    <r>
      <rPr>
        <sz val="12"/>
        <rFont val="宋体"/>
        <charset val="0"/>
        <scheme val="minor"/>
      </rPr>
      <t xml:space="preserve">
</t>
    </r>
    <r>
      <rPr>
        <sz val="12"/>
        <rFont val="宋体"/>
        <charset val="134"/>
        <scheme val="minor"/>
      </rPr>
      <t>黄何</t>
    </r>
    <r>
      <rPr>
        <sz val="12"/>
        <rFont val="宋体"/>
        <charset val="0"/>
        <scheme val="minor"/>
      </rPr>
      <t>113</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t>
    </r>
    <r>
      <rPr>
        <sz val="12"/>
        <rFont val="宋体"/>
        <charset val="0"/>
        <scheme val="minor"/>
      </rPr>
      <t xml:space="preserve">
</t>
    </r>
    <r>
      <rPr>
        <sz val="12"/>
        <rFont val="宋体"/>
        <charset val="134"/>
        <scheme val="minor"/>
      </rPr>
      <t>黄店</t>
    </r>
    <r>
      <rPr>
        <sz val="12"/>
        <rFont val="宋体"/>
        <charset val="0"/>
        <scheme val="minor"/>
      </rPr>
      <t>114</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t>
    </r>
    <r>
      <rPr>
        <sz val="12"/>
        <rFont val="宋体"/>
        <charset val="0"/>
        <scheme val="minor"/>
      </rPr>
      <t xml:space="preserve">
</t>
    </r>
    <r>
      <rPr>
        <sz val="12"/>
        <rFont val="宋体"/>
        <charset val="134"/>
        <scheme val="minor"/>
      </rPr>
      <t>黄龙</t>
    </r>
    <r>
      <rPr>
        <sz val="12"/>
        <rFont val="宋体"/>
        <charset val="0"/>
        <scheme val="minor"/>
      </rPr>
      <t>117</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t>
    </r>
    <r>
      <rPr>
        <sz val="12"/>
        <rFont val="宋体"/>
        <charset val="0"/>
        <scheme val="minor"/>
      </rPr>
      <t xml:space="preserve">
</t>
    </r>
    <r>
      <rPr>
        <sz val="12"/>
        <rFont val="宋体"/>
        <charset val="134"/>
        <scheme val="minor"/>
      </rPr>
      <t>黄刘</t>
    </r>
    <r>
      <rPr>
        <sz val="12"/>
        <rFont val="宋体"/>
        <charset val="0"/>
        <scheme val="minor"/>
      </rPr>
      <t>115</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t>
    </r>
    <r>
      <rPr>
        <sz val="12"/>
        <rFont val="宋体"/>
        <charset val="0"/>
        <scheme val="minor"/>
      </rPr>
      <t xml:space="preserve">
</t>
    </r>
    <r>
      <rPr>
        <sz val="12"/>
        <rFont val="宋体"/>
        <charset val="134"/>
        <scheme val="minor"/>
      </rPr>
      <t>黄赵</t>
    </r>
    <r>
      <rPr>
        <sz val="12"/>
        <rFont val="宋体"/>
        <charset val="0"/>
        <scheme val="minor"/>
      </rPr>
      <t>119</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t>
    </r>
  </si>
  <si>
    <t>黄桥变由于对端容量不足、没有联络导致线路失电；具体原因如下：
1、由黄龙线1条专线；
2、黄新线、黄刘线、黄赵线、黄何线对端容量不足。</t>
  </si>
  <si>
    <t>黄刘线</t>
  </si>
  <si>
    <t>黄新线</t>
  </si>
  <si>
    <t>黄店线</t>
  </si>
  <si>
    <t>夹河变</t>
  </si>
  <si>
    <t>13</t>
  </si>
  <si>
    <r>
      <rPr>
        <sz val="12"/>
        <rFont val="宋体"/>
        <charset val="134"/>
        <scheme val="minor"/>
      </rPr>
      <t>夹义</t>
    </r>
    <r>
      <rPr>
        <sz val="12"/>
        <rFont val="宋体"/>
        <charset val="0"/>
        <scheme val="minor"/>
      </rPr>
      <t>118</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t>
    </r>
    <r>
      <rPr>
        <sz val="12"/>
        <rFont val="宋体"/>
        <charset val="0"/>
        <scheme val="minor"/>
      </rPr>
      <t xml:space="preserve">
</t>
    </r>
    <r>
      <rPr>
        <sz val="12"/>
        <rFont val="宋体"/>
        <charset val="134"/>
        <scheme val="minor"/>
      </rPr>
      <t>夹循一线</t>
    </r>
    <r>
      <rPr>
        <sz val="12"/>
        <rFont val="宋体"/>
        <charset val="0"/>
        <scheme val="minor"/>
      </rPr>
      <t>113</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t>
    </r>
    <r>
      <rPr>
        <sz val="12"/>
        <rFont val="宋体"/>
        <charset val="0"/>
        <scheme val="minor"/>
      </rPr>
      <t xml:space="preserve">
</t>
    </r>
    <r>
      <rPr>
        <sz val="12"/>
        <rFont val="宋体"/>
        <charset val="134"/>
        <scheme val="minor"/>
      </rPr>
      <t>夹楚</t>
    </r>
    <r>
      <rPr>
        <sz val="12"/>
        <rFont val="宋体"/>
        <charset val="0"/>
        <scheme val="minor"/>
      </rPr>
      <t>115</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（专线）</t>
    </r>
    <r>
      <rPr>
        <sz val="12"/>
        <rFont val="宋体"/>
        <charset val="0"/>
        <scheme val="minor"/>
      </rPr>
      <t xml:space="preserve">
</t>
    </r>
    <r>
      <rPr>
        <sz val="12"/>
        <rFont val="宋体"/>
        <charset val="134"/>
        <scheme val="minor"/>
      </rPr>
      <t>夹空</t>
    </r>
    <r>
      <rPr>
        <sz val="12"/>
        <rFont val="宋体"/>
        <charset val="0"/>
        <scheme val="minor"/>
      </rPr>
      <t>134</t>
    </r>
    <r>
      <rPr>
        <sz val="12"/>
        <rFont val="宋体"/>
        <charset val="134"/>
        <scheme val="minor"/>
      </rPr>
      <t>线开关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t>
    </r>
    <r>
      <rPr>
        <sz val="12"/>
        <rFont val="宋体"/>
        <charset val="0"/>
        <scheme val="minor"/>
      </rPr>
      <t xml:space="preserve">
</t>
    </r>
    <r>
      <rPr>
        <sz val="12"/>
        <rFont val="宋体"/>
        <charset val="134"/>
        <scheme val="minor"/>
      </rPr>
      <t>夹铁</t>
    </r>
    <r>
      <rPr>
        <sz val="12"/>
        <rFont val="宋体"/>
        <charset val="0"/>
        <scheme val="minor"/>
      </rPr>
      <t>133</t>
    </r>
    <r>
      <rPr>
        <sz val="12"/>
        <rFont val="宋体"/>
        <charset val="134"/>
        <scheme val="minor"/>
      </rPr>
      <t>线开关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（专线）</t>
    </r>
    <r>
      <rPr>
        <sz val="12"/>
        <rFont val="宋体"/>
        <charset val="0"/>
        <scheme val="minor"/>
      </rPr>
      <t xml:space="preserve">
</t>
    </r>
    <r>
      <rPr>
        <sz val="12"/>
        <rFont val="宋体"/>
        <charset val="134"/>
        <scheme val="minor"/>
      </rPr>
      <t>夹华</t>
    </r>
    <r>
      <rPr>
        <sz val="12"/>
        <rFont val="宋体"/>
        <charset val="0"/>
        <scheme val="minor"/>
      </rPr>
      <t>132</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（专线）</t>
    </r>
    <r>
      <rPr>
        <sz val="12"/>
        <rFont val="宋体"/>
        <charset val="0"/>
        <scheme val="minor"/>
      </rPr>
      <t xml:space="preserve">
</t>
    </r>
    <r>
      <rPr>
        <sz val="12"/>
        <rFont val="宋体"/>
        <charset val="134"/>
        <scheme val="minor"/>
      </rPr>
      <t>夹安</t>
    </r>
    <r>
      <rPr>
        <sz val="12"/>
        <rFont val="宋体"/>
        <charset val="0"/>
        <scheme val="minor"/>
      </rPr>
      <t>135</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t>
    </r>
    <r>
      <rPr>
        <sz val="12"/>
        <rFont val="宋体"/>
        <charset val="0"/>
        <scheme val="minor"/>
      </rPr>
      <t xml:space="preserve">
</t>
    </r>
    <r>
      <rPr>
        <sz val="12"/>
        <rFont val="宋体"/>
        <charset val="134"/>
        <scheme val="minor"/>
      </rPr>
      <t>夹下线</t>
    </r>
    <r>
      <rPr>
        <sz val="12"/>
        <rFont val="宋体"/>
        <charset val="0"/>
        <scheme val="minor"/>
      </rPr>
      <t>131</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t>
    </r>
  </si>
  <si>
    <t xml:space="preserve">
夹河变由于对端容量不足、没有联络导致线路失电，具体原因如下：
1、夹循一线、夹柳线、夹义线、夹程线、夹循二线对端容量不足；
2、有夹下线、夹铁线共2条专线。</t>
  </si>
  <si>
    <t>专线/公线</t>
  </si>
  <si>
    <t>夹义线</t>
  </si>
  <si>
    <t>夹空线</t>
  </si>
  <si>
    <t>夹楚线</t>
  </si>
  <si>
    <t>/</t>
  </si>
  <si>
    <t>夹循一线</t>
  </si>
  <si>
    <t>滕寨变</t>
  </si>
  <si>
    <t>滕徐115开关(遥)（公线）</t>
  </si>
  <si>
    <t>滕寨变由于对端容量不足导致线路失电，具体原因如下：
1、滕关线、滕新线对端容量不足。</t>
  </si>
  <si>
    <t>滕关线</t>
  </si>
  <si>
    <t>田园变</t>
  </si>
  <si>
    <t>田张二线129开关(遥)（公线）
田空一线11A开关(遥)（公线）
田水一线11G开关(遥)（公线）
田工一线113开关(遥)（公线）
田水二线12E开关(遥)（公线）
田军12C开关(遥)（专线）
田翻11E开关(遥)（专线）
田空二线12A开关(遥)（公线）
田星11C开关(遥)（专线）
田丁117开关(遥)（公线）
田刘125开关(遥)（公线）
田滕116开关(遥)（公线）
田潘124开关(遥)（公线）
田工二线123开关(遥)（公线）
田杨114开关(遥)（公线）
田张一线119开关(遥)（公线）
田东127开关(遥)（公线）
田郭118开关(遥)（公线）</t>
  </si>
  <si>
    <t xml:space="preserve">
田园变由于对端容量不足、没有联络导致线路失电，具体原因如下：
1、有田军线、田翻线、田星线3条专线；
2、田杨线、田冯线、田东线对端容量不足。</t>
  </si>
  <si>
    <t>田杨线</t>
  </si>
  <si>
    <t>田冯线</t>
  </si>
  <si>
    <t>田星线</t>
  </si>
  <si>
    <t>田丁线</t>
  </si>
  <si>
    <t>田张一线</t>
  </si>
  <si>
    <t>大许变</t>
  </si>
  <si>
    <r>
      <rPr>
        <sz val="12"/>
        <rFont val="宋体"/>
        <charset val="134"/>
        <scheme val="minor"/>
      </rPr>
      <t>许庙线</t>
    </r>
    <r>
      <rPr>
        <sz val="12"/>
        <rFont val="宋体"/>
        <charset val="0"/>
        <scheme val="minor"/>
      </rPr>
      <t>12A</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t>
    </r>
    <r>
      <rPr>
        <sz val="12"/>
        <rFont val="宋体"/>
        <charset val="0"/>
        <scheme val="minor"/>
      </rPr>
      <t xml:space="preserve">
</t>
    </r>
    <r>
      <rPr>
        <sz val="12"/>
        <rFont val="宋体"/>
        <charset val="134"/>
        <scheme val="minor"/>
      </rPr>
      <t>许太二线</t>
    </r>
    <r>
      <rPr>
        <sz val="12"/>
        <rFont val="宋体"/>
        <charset val="0"/>
        <scheme val="minor"/>
      </rPr>
      <t>125</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t>
    </r>
    <r>
      <rPr>
        <sz val="12"/>
        <rFont val="宋体"/>
        <charset val="0"/>
        <scheme val="minor"/>
      </rPr>
      <t xml:space="preserve">
</t>
    </r>
    <r>
      <rPr>
        <sz val="12"/>
        <rFont val="宋体"/>
        <charset val="134"/>
        <scheme val="minor"/>
      </rPr>
      <t>许邵线</t>
    </r>
    <r>
      <rPr>
        <sz val="12"/>
        <rFont val="宋体"/>
        <charset val="0"/>
        <scheme val="minor"/>
      </rPr>
      <t>116</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t>
    </r>
    <r>
      <rPr>
        <sz val="12"/>
        <rFont val="宋体"/>
        <charset val="0"/>
        <scheme val="minor"/>
      </rPr>
      <t xml:space="preserve">
</t>
    </r>
    <r>
      <rPr>
        <sz val="12"/>
        <rFont val="宋体"/>
        <charset val="134"/>
        <scheme val="minor"/>
      </rPr>
      <t>许水线</t>
    </r>
    <r>
      <rPr>
        <sz val="12"/>
        <rFont val="宋体"/>
        <charset val="0"/>
        <scheme val="minor"/>
      </rPr>
      <t>126</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（专线）</t>
    </r>
    <r>
      <rPr>
        <sz val="12"/>
        <rFont val="宋体"/>
        <charset val="0"/>
        <scheme val="minor"/>
      </rPr>
      <t xml:space="preserve">
</t>
    </r>
    <r>
      <rPr>
        <sz val="12"/>
        <rFont val="宋体"/>
        <charset val="134"/>
        <scheme val="minor"/>
      </rPr>
      <t>许团线</t>
    </r>
    <r>
      <rPr>
        <sz val="12"/>
        <rFont val="宋体"/>
        <charset val="0"/>
        <scheme val="minor"/>
      </rPr>
      <t>123</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t>
    </r>
    <r>
      <rPr>
        <sz val="12"/>
        <rFont val="宋体"/>
        <charset val="0"/>
        <scheme val="minor"/>
      </rPr>
      <t xml:space="preserve">
</t>
    </r>
    <r>
      <rPr>
        <sz val="12"/>
        <rFont val="宋体"/>
        <charset val="134"/>
        <scheme val="minor"/>
      </rPr>
      <t>许龙线</t>
    </r>
    <r>
      <rPr>
        <sz val="12"/>
        <rFont val="宋体"/>
        <charset val="0"/>
        <scheme val="minor"/>
      </rPr>
      <t>114</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t>
    </r>
    <r>
      <rPr>
        <sz val="12"/>
        <rFont val="宋体"/>
        <charset val="0"/>
        <scheme val="minor"/>
      </rPr>
      <t xml:space="preserve">
</t>
    </r>
    <r>
      <rPr>
        <sz val="12"/>
        <rFont val="宋体"/>
        <charset val="134"/>
        <scheme val="minor"/>
      </rPr>
      <t>许政线</t>
    </r>
    <r>
      <rPr>
        <sz val="12"/>
        <rFont val="宋体"/>
        <charset val="0"/>
        <scheme val="minor"/>
      </rPr>
      <t>115</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t>
    </r>
    <r>
      <rPr>
        <sz val="12"/>
        <rFont val="宋体"/>
        <charset val="0"/>
        <scheme val="minor"/>
      </rPr>
      <t xml:space="preserve">
</t>
    </r>
    <r>
      <rPr>
        <sz val="12"/>
        <rFont val="宋体"/>
        <charset val="134"/>
        <scheme val="minor"/>
      </rPr>
      <t>许街线</t>
    </r>
    <r>
      <rPr>
        <sz val="12"/>
        <rFont val="宋体"/>
        <charset val="0"/>
        <scheme val="minor"/>
      </rPr>
      <t>127</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t>
    </r>
    <r>
      <rPr>
        <sz val="12"/>
        <rFont val="宋体"/>
        <charset val="0"/>
        <scheme val="minor"/>
      </rPr>
      <t xml:space="preserve">
</t>
    </r>
    <r>
      <rPr>
        <sz val="12"/>
        <rFont val="宋体"/>
        <charset val="134"/>
        <scheme val="minor"/>
      </rPr>
      <t>许房线</t>
    </r>
    <r>
      <rPr>
        <sz val="12"/>
        <rFont val="宋体"/>
        <charset val="0"/>
        <scheme val="minor"/>
      </rPr>
      <t>118</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t>
    </r>
    <r>
      <rPr>
        <sz val="12"/>
        <rFont val="宋体"/>
        <charset val="0"/>
        <scheme val="minor"/>
      </rPr>
      <t xml:space="preserve">
</t>
    </r>
    <r>
      <rPr>
        <sz val="12"/>
        <rFont val="宋体"/>
        <charset val="134"/>
        <scheme val="minor"/>
      </rPr>
      <t>许姚线</t>
    </r>
    <r>
      <rPr>
        <sz val="12"/>
        <rFont val="宋体"/>
        <charset val="0"/>
        <scheme val="minor"/>
      </rPr>
      <t>128</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t>
    </r>
    <r>
      <rPr>
        <sz val="12"/>
        <rFont val="宋体"/>
        <charset val="0"/>
        <scheme val="minor"/>
      </rPr>
      <t xml:space="preserve">
</t>
    </r>
    <r>
      <rPr>
        <sz val="12"/>
        <rFont val="宋体"/>
        <charset val="134"/>
        <scheme val="minor"/>
      </rPr>
      <t>许铁线</t>
    </r>
    <r>
      <rPr>
        <sz val="12"/>
        <rFont val="宋体"/>
        <charset val="0"/>
        <scheme val="minor"/>
      </rPr>
      <t>119</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（专线）</t>
    </r>
  </si>
  <si>
    <t xml:space="preserve">
大许变由于对端容量不足、没有联络导致线路失电，具体原因如下：
1、有许铁线、许水线2条专线；
2、许太一线、许政线、许街线对端容量不足。</t>
  </si>
  <si>
    <t>许街线</t>
  </si>
  <si>
    <t>许团线</t>
  </si>
  <si>
    <t>许太二线</t>
  </si>
  <si>
    <t>许太一线</t>
  </si>
  <si>
    <t>许政线</t>
  </si>
  <si>
    <t>新星变</t>
  </si>
  <si>
    <r>
      <rPr>
        <sz val="12"/>
        <rFont val="宋体"/>
        <charset val="134"/>
        <scheme val="minor"/>
      </rPr>
      <t>新东线</t>
    </r>
    <r>
      <rPr>
        <sz val="12"/>
        <rFont val="宋体"/>
        <charset val="0"/>
        <scheme val="minor"/>
      </rPr>
      <t>11H</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t>
    </r>
    <r>
      <rPr>
        <sz val="12"/>
        <rFont val="宋体"/>
        <charset val="0"/>
        <scheme val="minor"/>
      </rPr>
      <t xml:space="preserve">
</t>
    </r>
    <r>
      <rPr>
        <sz val="12"/>
        <rFont val="宋体"/>
        <charset val="134"/>
        <scheme val="minor"/>
      </rPr>
      <t>新杨线</t>
    </r>
    <r>
      <rPr>
        <sz val="12"/>
        <rFont val="宋体"/>
        <charset val="0"/>
        <scheme val="minor"/>
      </rPr>
      <t>12A</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t>
    </r>
    <r>
      <rPr>
        <sz val="12"/>
        <rFont val="宋体"/>
        <charset val="0"/>
        <scheme val="minor"/>
      </rPr>
      <t xml:space="preserve">
</t>
    </r>
    <r>
      <rPr>
        <sz val="12"/>
        <rFont val="宋体"/>
        <charset val="134"/>
        <scheme val="minor"/>
      </rPr>
      <t>新赵</t>
    </r>
    <r>
      <rPr>
        <sz val="12"/>
        <rFont val="宋体"/>
        <charset val="0"/>
        <scheme val="minor"/>
      </rPr>
      <t>124</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t>
    </r>
    <r>
      <rPr>
        <sz val="12"/>
        <rFont val="宋体"/>
        <charset val="0"/>
        <scheme val="minor"/>
      </rPr>
      <t xml:space="preserve">
</t>
    </r>
    <r>
      <rPr>
        <sz val="12"/>
        <rFont val="宋体"/>
        <charset val="134"/>
        <scheme val="minor"/>
      </rPr>
      <t>新双线</t>
    </r>
    <r>
      <rPr>
        <sz val="12"/>
        <rFont val="宋体"/>
        <charset val="0"/>
        <scheme val="minor"/>
      </rPr>
      <t>12F</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t>
    </r>
    <r>
      <rPr>
        <sz val="12"/>
        <rFont val="宋体"/>
        <charset val="0"/>
        <scheme val="minor"/>
      </rPr>
      <t xml:space="preserve">
</t>
    </r>
    <r>
      <rPr>
        <sz val="12"/>
        <rFont val="宋体"/>
        <charset val="134"/>
        <scheme val="minor"/>
      </rPr>
      <t>新空线</t>
    </r>
    <r>
      <rPr>
        <sz val="12"/>
        <rFont val="宋体"/>
        <charset val="0"/>
        <scheme val="minor"/>
      </rPr>
      <t>11C</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t>
    </r>
    <r>
      <rPr>
        <sz val="12"/>
        <rFont val="宋体"/>
        <charset val="0"/>
        <scheme val="minor"/>
      </rPr>
      <t xml:space="preserve">
</t>
    </r>
    <r>
      <rPr>
        <sz val="12"/>
        <rFont val="宋体"/>
        <charset val="134"/>
        <scheme val="minor"/>
      </rPr>
      <t>新集线</t>
    </r>
    <r>
      <rPr>
        <sz val="12"/>
        <rFont val="宋体"/>
        <charset val="0"/>
        <scheme val="minor"/>
      </rPr>
      <t>117</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t>
    </r>
    <r>
      <rPr>
        <sz val="12"/>
        <rFont val="宋体"/>
        <charset val="0"/>
        <scheme val="minor"/>
      </rPr>
      <t xml:space="preserve">
</t>
    </r>
    <r>
      <rPr>
        <sz val="12"/>
        <rFont val="宋体"/>
        <charset val="134"/>
        <scheme val="minor"/>
      </rPr>
      <t>新何二线</t>
    </r>
    <r>
      <rPr>
        <sz val="12"/>
        <rFont val="宋体"/>
        <charset val="0"/>
        <scheme val="minor"/>
      </rPr>
      <t>12H</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t>
    </r>
    <r>
      <rPr>
        <sz val="12"/>
        <rFont val="宋体"/>
        <charset val="0"/>
        <scheme val="minor"/>
      </rPr>
      <t xml:space="preserve">
</t>
    </r>
    <r>
      <rPr>
        <sz val="12"/>
        <rFont val="宋体"/>
        <charset val="134"/>
        <scheme val="minor"/>
      </rPr>
      <t>新西线</t>
    </r>
    <r>
      <rPr>
        <sz val="12"/>
        <rFont val="宋体"/>
        <charset val="0"/>
        <scheme val="minor"/>
      </rPr>
      <t>129</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t>
    </r>
    <r>
      <rPr>
        <sz val="12"/>
        <rFont val="宋体"/>
        <charset val="0"/>
        <scheme val="minor"/>
      </rPr>
      <t xml:space="preserve">
</t>
    </r>
    <r>
      <rPr>
        <sz val="12"/>
        <rFont val="宋体"/>
        <charset val="134"/>
        <scheme val="minor"/>
      </rPr>
      <t>新肖</t>
    </r>
    <r>
      <rPr>
        <sz val="12"/>
        <rFont val="宋体"/>
        <charset val="0"/>
        <scheme val="minor"/>
      </rPr>
      <t>113</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t>
    </r>
    <r>
      <rPr>
        <sz val="12"/>
        <rFont val="宋体"/>
        <charset val="0"/>
        <scheme val="minor"/>
      </rPr>
      <t xml:space="preserve">
</t>
    </r>
    <r>
      <rPr>
        <sz val="12"/>
        <rFont val="宋体"/>
        <charset val="134"/>
        <scheme val="minor"/>
      </rPr>
      <t>新何一线</t>
    </r>
    <r>
      <rPr>
        <sz val="12"/>
        <rFont val="宋体"/>
        <charset val="0"/>
        <scheme val="minor"/>
      </rPr>
      <t>116</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t>
    </r>
  </si>
  <si>
    <t>新星变由于对端容量不足导致线路失电，具体原因如下：
1、新何一线、新赵线对端容量不足。</t>
  </si>
  <si>
    <t>吴邵变</t>
  </si>
  <si>
    <r>
      <rPr>
        <sz val="12"/>
        <rFont val="宋体"/>
        <charset val="134"/>
        <scheme val="minor"/>
      </rPr>
      <t>吴鹰</t>
    </r>
    <r>
      <rPr>
        <sz val="12"/>
        <rFont val="宋体"/>
        <charset val="0"/>
        <scheme val="minor"/>
      </rPr>
      <t>114</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（专线）</t>
    </r>
    <r>
      <rPr>
        <sz val="12"/>
        <rFont val="宋体"/>
        <charset val="0"/>
        <scheme val="minor"/>
      </rPr>
      <t xml:space="preserve">
</t>
    </r>
    <r>
      <rPr>
        <sz val="12"/>
        <rFont val="宋体"/>
        <charset val="134"/>
        <scheme val="minor"/>
      </rPr>
      <t>吴阎</t>
    </r>
    <r>
      <rPr>
        <sz val="12"/>
        <rFont val="宋体"/>
        <charset val="0"/>
        <scheme val="minor"/>
      </rPr>
      <t>115</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t>
    </r>
    <r>
      <rPr>
        <sz val="12"/>
        <rFont val="宋体"/>
        <charset val="0"/>
        <scheme val="minor"/>
      </rPr>
      <t xml:space="preserve">
</t>
    </r>
    <r>
      <rPr>
        <sz val="12"/>
        <rFont val="宋体"/>
        <charset val="134"/>
        <scheme val="minor"/>
      </rPr>
      <t>吴果</t>
    </r>
    <r>
      <rPr>
        <sz val="12"/>
        <rFont val="宋体"/>
        <charset val="0"/>
        <scheme val="minor"/>
      </rPr>
      <t>116</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t>
    </r>
  </si>
  <si>
    <t>吴邵变由于对端容量不足、没有联络导致线路失电，具体原因如下：
1、有吴鹰线1条专线；
2、吴果线对端容量不足。</t>
  </si>
  <si>
    <t>郑集变</t>
  </si>
  <si>
    <t>14</t>
  </si>
  <si>
    <r>
      <rPr>
        <sz val="12"/>
        <rFont val="宋体"/>
        <charset val="134"/>
        <scheme val="minor"/>
      </rPr>
      <t>郑工</t>
    </r>
    <r>
      <rPr>
        <sz val="12"/>
        <rFont val="宋体"/>
        <charset val="0"/>
        <scheme val="minor"/>
      </rPr>
      <t>114</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t>
    </r>
    <r>
      <rPr>
        <sz val="12"/>
        <rFont val="宋体"/>
        <charset val="0"/>
        <scheme val="minor"/>
      </rPr>
      <t xml:space="preserve">
</t>
    </r>
    <r>
      <rPr>
        <sz val="12"/>
        <rFont val="宋体"/>
        <charset val="134"/>
        <scheme val="minor"/>
      </rPr>
      <t>郑东</t>
    </r>
    <r>
      <rPr>
        <sz val="12"/>
        <rFont val="宋体"/>
        <charset val="0"/>
        <scheme val="minor"/>
      </rPr>
      <t>116</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t>
    </r>
    <r>
      <rPr>
        <sz val="12"/>
        <rFont val="宋体"/>
        <charset val="0"/>
        <scheme val="minor"/>
      </rPr>
      <t xml:space="preserve">
</t>
    </r>
    <r>
      <rPr>
        <sz val="12"/>
        <rFont val="宋体"/>
        <charset val="134"/>
        <scheme val="minor"/>
      </rPr>
      <t>郑肖</t>
    </r>
    <r>
      <rPr>
        <sz val="12"/>
        <rFont val="宋体"/>
        <charset val="0"/>
        <scheme val="minor"/>
      </rPr>
      <t>121</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t>
    </r>
    <r>
      <rPr>
        <sz val="12"/>
        <rFont val="宋体"/>
        <charset val="0"/>
        <scheme val="minor"/>
      </rPr>
      <t xml:space="preserve">
</t>
    </r>
    <r>
      <rPr>
        <sz val="12"/>
        <rFont val="宋体"/>
        <charset val="134"/>
        <scheme val="minor"/>
      </rPr>
      <t>郑吕</t>
    </r>
    <r>
      <rPr>
        <sz val="12"/>
        <rFont val="宋体"/>
        <charset val="0"/>
        <scheme val="minor"/>
      </rPr>
      <t>123</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t>
    </r>
    <r>
      <rPr>
        <sz val="12"/>
        <rFont val="宋体"/>
        <charset val="0"/>
        <scheme val="minor"/>
      </rPr>
      <t xml:space="preserve">
</t>
    </r>
    <r>
      <rPr>
        <sz val="12"/>
        <rFont val="宋体"/>
        <charset val="134"/>
        <scheme val="minor"/>
      </rPr>
      <t>郑张</t>
    </r>
    <r>
      <rPr>
        <sz val="12"/>
        <rFont val="宋体"/>
        <charset val="0"/>
        <scheme val="minor"/>
      </rPr>
      <t>122</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t>
    </r>
    <r>
      <rPr>
        <sz val="12"/>
        <rFont val="宋体"/>
        <charset val="0"/>
        <scheme val="minor"/>
      </rPr>
      <t xml:space="preserve">
</t>
    </r>
    <r>
      <rPr>
        <sz val="12"/>
        <rFont val="宋体"/>
        <charset val="134"/>
        <scheme val="minor"/>
      </rPr>
      <t>郑水</t>
    </r>
    <r>
      <rPr>
        <sz val="12"/>
        <rFont val="宋体"/>
        <charset val="0"/>
        <scheme val="minor"/>
      </rPr>
      <t>111</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（专线）</t>
    </r>
    <r>
      <rPr>
        <sz val="12"/>
        <rFont val="宋体"/>
        <charset val="0"/>
        <scheme val="minor"/>
      </rPr>
      <t xml:space="preserve">
</t>
    </r>
    <r>
      <rPr>
        <sz val="12"/>
        <rFont val="宋体"/>
        <charset val="134"/>
        <scheme val="minor"/>
      </rPr>
      <t>郑左</t>
    </r>
    <r>
      <rPr>
        <sz val="12"/>
        <rFont val="宋体"/>
        <charset val="0"/>
        <scheme val="minor"/>
      </rPr>
      <t>126</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t>
    </r>
    <r>
      <rPr>
        <sz val="12"/>
        <rFont val="宋体"/>
        <charset val="0"/>
        <scheme val="minor"/>
      </rPr>
      <t xml:space="preserve">
</t>
    </r>
    <r>
      <rPr>
        <sz val="12"/>
        <rFont val="宋体"/>
        <charset val="134"/>
        <scheme val="minor"/>
      </rPr>
      <t>郑安</t>
    </r>
    <r>
      <rPr>
        <sz val="12"/>
        <rFont val="宋体"/>
        <charset val="0"/>
        <scheme val="minor"/>
      </rPr>
      <t>124</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t>
    </r>
    <r>
      <rPr>
        <sz val="12"/>
        <rFont val="宋体"/>
        <charset val="0"/>
        <scheme val="minor"/>
      </rPr>
      <t xml:space="preserve">
</t>
    </r>
    <r>
      <rPr>
        <sz val="12"/>
        <rFont val="宋体"/>
        <charset val="134"/>
        <scheme val="minor"/>
      </rPr>
      <t>郑西</t>
    </r>
    <r>
      <rPr>
        <sz val="12"/>
        <rFont val="宋体"/>
        <charset val="0"/>
        <scheme val="minor"/>
      </rPr>
      <t>119</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t>
    </r>
    <r>
      <rPr>
        <sz val="12"/>
        <rFont val="宋体"/>
        <charset val="0"/>
        <scheme val="minor"/>
      </rPr>
      <t xml:space="preserve">
</t>
    </r>
    <r>
      <rPr>
        <sz val="12"/>
        <rFont val="宋体"/>
        <charset val="134"/>
        <scheme val="minor"/>
      </rPr>
      <t>郑纱</t>
    </r>
    <r>
      <rPr>
        <sz val="12"/>
        <rFont val="宋体"/>
        <charset val="0"/>
        <scheme val="minor"/>
      </rPr>
      <t>117</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（专线）</t>
    </r>
  </si>
  <si>
    <t>郑集变由于对端容量不足、没有联络导致线路失电，具体原因如下：
1、有郑水线、郑纱线2条专线；
2、郑东线、郑西线对端容量不足。</t>
  </si>
  <si>
    <t>郑西线</t>
  </si>
  <si>
    <t>郑肖线</t>
  </si>
  <si>
    <t>郑东线</t>
  </si>
  <si>
    <t>郑张线</t>
  </si>
  <si>
    <t>郑工线</t>
  </si>
  <si>
    <t>马坡变</t>
  </si>
  <si>
    <r>
      <rPr>
        <sz val="12"/>
        <rFont val="宋体"/>
        <charset val="134"/>
        <scheme val="minor"/>
      </rPr>
      <t>马运</t>
    </r>
    <r>
      <rPr>
        <sz val="12"/>
        <rFont val="宋体"/>
        <charset val="0"/>
        <scheme val="minor"/>
      </rPr>
      <t>113</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t>
    </r>
    <r>
      <rPr>
        <sz val="12"/>
        <rFont val="宋体"/>
        <charset val="0"/>
        <scheme val="minor"/>
      </rPr>
      <t xml:space="preserve">
</t>
    </r>
    <r>
      <rPr>
        <sz val="12"/>
        <rFont val="宋体"/>
        <charset val="134"/>
        <scheme val="minor"/>
      </rPr>
      <t>马政</t>
    </r>
    <r>
      <rPr>
        <sz val="12"/>
        <rFont val="宋体"/>
        <charset val="0"/>
        <scheme val="minor"/>
      </rPr>
      <t>111</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t>
    </r>
    <r>
      <rPr>
        <sz val="12"/>
        <rFont val="宋体"/>
        <charset val="0"/>
        <scheme val="minor"/>
      </rPr>
      <t xml:space="preserve">
</t>
    </r>
    <r>
      <rPr>
        <sz val="12"/>
        <rFont val="宋体"/>
        <charset val="134"/>
        <scheme val="minor"/>
      </rPr>
      <t>马蒋</t>
    </r>
    <r>
      <rPr>
        <sz val="12"/>
        <rFont val="宋体"/>
        <charset val="0"/>
        <scheme val="minor"/>
      </rPr>
      <t>110</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t>
    </r>
    <r>
      <rPr>
        <sz val="12"/>
        <rFont val="宋体"/>
        <charset val="0"/>
        <scheme val="minor"/>
      </rPr>
      <t xml:space="preserve">
</t>
    </r>
    <r>
      <rPr>
        <sz val="12"/>
        <rFont val="宋体"/>
        <charset val="134"/>
        <scheme val="minor"/>
      </rPr>
      <t>马沿</t>
    </r>
    <r>
      <rPr>
        <sz val="12"/>
        <rFont val="宋体"/>
        <charset val="0"/>
        <scheme val="minor"/>
      </rPr>
      <t>131</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t>
    </r>
    <r>
      <rPr>
        <sz val="12"/>
        <rFont val="宋体"/>
        <charset val="0"/>
        <scheme val="minor"/>
      </rPr>
      <t xml:space="preserve">
</t>
    </r>
    <r>
      <rPr>
        <sz val="12"/>
        <rFont val="宋体"/>
        <charset val="134"/>
        <scheme val="minor"/>
      </rPr>
      <t>马丁</t>
    </r>
    <r>
      <rPr>
        <sz val="12"/>
        <rFont val="宋体"/>
        <charset val="0"/>
        <scheme val="minor"/>
      </rPr>
      <t>130</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t>
    </r>
    <r>
      <rPr>
        <sz val="12"/>
        <rFont val="宋体"/>
        <charset val="0"/>
        <scheme val="minor"/>
      </rPr>
      <t xml:space="preserve">
</t>
    </r>
    <r>
      <rPr>
        <sz val="12"/>
        <rFont val="宋体"/>
        <charset val="134"/>
        <scheme val="minor"/>
      </rPr>
      <t>马泰</t>
    </r>
    <r>
      <rPr>
        <sz val="12"/>
        <rFont val="宋体"/>
        <charset val="0"/>
        <scheme val="minor"/>
      </rPr>
      <t>124</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t>
    </r>
    <r>
      <rPr>
        <sz val="12"/>
        <rFont val="宋体"/>
        <charset val="0"/>
        <scheme val="minor"/>
      </rPr>
      <t xml:space="preserve">
</t>
    </r>
    <r>
      <rPr>
        <sz val="12"/>
        <rFont val="宋体"/>
        <charset val="134"/>
        <scheme val="minor"/>
      </rPr>
      <t>马园</t>
    </r>
    <r>
      <rPr>
        <sz val="12"/>
        <rFont val="宋体"/>
        <charset val="0"/>
        <scheme val="minor"/>
      </rPr>
      <t>146</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t>
    </r>
    <r>
      <rPr>
        <sz val="12"/>
        <rFont val="宋体"/>
        <charset val="0"/>
        <scheme val="minor"/>
      </rPr>
      <t xml:space="preserve">
</t>
    </r>
    <r>
      <rPr>
        <sz val="12"/>
        <rFont val="宋体"/>
        <charset val="134"/>
        <scheme val="minor"/>
      </rPr>
      <t>马芦</t>
    </r>
    <r>
      <rPr>
        <sz val="12"/>
        <rFont val="宋体"/>
        <charset val="0"/>
        <scheme val="minor"/>
      </rPr>
      <t>145</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t>
    </r>
    <r>
      <rPr>
        <sz val="12"/>
        <rFont val="宋体"/>
        <charset val="0"/>
        <scheme val="minor"/>
      </rPr>
      <t xml:space="preserve">
</t>
    </r>
    <r>
      <rPr>
        <sz val="12"/>
        <rFont val="宋体"/>
        <charset val="134"/>
        <scheme val="minor"/>
      </rPr>
      <t>马今二</t>
    </r>
    <r>
      <rPr>
        <sz val="12"/>
        <rFont val="宋体"/>
        <charset val="0"/>
        <scheme val="minor"/>
      </rPr>
      <t>136</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（专线）</t>
    </r>
    <r>
      <rPr>
        <sz val="12"/>
        <rFont val="宋体"/>
        <charset val="0"/>
        <scheme val="minor"/>
      </rPr>
      <t xml:space="preserve">
</t>
    </r>
    <r>
      <rPr>
        <sz val="12"/>
        <rFont val="宋体"/>
        <charset val="134"/>
        <scheme val="minor"/>
      </rPr>
      <t>马工</t>
    </r>
    <r>
      <rPr>
        <sz val="12"/>
        <rFont val="宋体"/>
        <charset val="0"/>
        <scheme val="minor"/>
      </rPr>
      <t>132</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t>
    </r>
    <r>
      <rPr>
        <sz val="12"/>
        <rFont val="宋体"/>
        <charset val="0"/>
        <scheme val="minor"/>
      </rPr>
      <t xml:space="preserve">
</t>
    </r>
    <r>
      <rPr>
        <sz val="12"/>
        <rFont val="宋体"/>
        <charset val="134"/>
        <scheme val="minor"/>
      </rPr>
      <t>马九</t>
    </r>
    <r>
      <rPr>
        <sz val="12"/>
        <rFont val="宋体"/>
        <charset val="0"/>
        <scheme val="minor"/>
      </rPr>
      <t>114</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t>
    </r>
    <r>
      <rPr>
        <sz val="12"/>
        <rFont val="宋体"/>
        <charset val="0"/>
        <scheme val="minor"/>
      </rPr>
      <t xml:space="preserve">
</t>
    </r>
    <r>
      <rPr>
        <sz val="12"/>
        <rFont val="宋体"/>
        <charset val="134"/>
        <scheme val="minor"/>
      </rPr>
      <t>马楼</t>
    </r>
    <r>
      <rPr>
        <sz val="12"/>
        <rFont val="宋体"/>
        <charset val="0"/>
        <scheme val="minor"/>
      </rPr>
      <t>122</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（公线）</t>
    </r>
    <r>
      <rPr>
        <sz val="12"/>
        <rFont val="宋体"/>
        <charset val="0"/>
        <scheme val="minor"/>
      </rPr>
      <t xml:space="preserve">
</t>
    </r>
    <r>
      <rPr>
        <sz val="12"/>
        <rFont val="宋体"/>
        <charset val="134"/>
        <scheme val="minor"/>
      </rPr>
      <t>马今</t>
    </r>
    <r>
      <rPr>
        <sz val="12"/>
        <rFont val="宋体"/>
        <charset val="0"/>
        <scheme val="minor"/>
      </rPr>
      <t>135</t>
    </r>
    <r>
      <rPr>
        <sz val="12"/>
        <rFont val="宋体"/>
        <charset val="134"/>
        <scheme val="minor"/>
      </rPr>
      <t>开关</t>
    </r>
    <r>
      <rPr>
        <sz val="12"/>
        <rFont val="宋体"/>
        <charset val="0"/>
        <scheme val="minor"/>
      </rPr>
      <t>(</t>
    </r>
    <r>
      <rPr>
        <sz val="12"/>
        <rFont val="宋体"/>
        <charset val="134"/>
        <scheme val="minor"/>
      </rPr>
      <t>遥</t>
    </r>
    <r>
      <rPr>
        <sz val="12"/>
        <rFont val="宋体"/>
        <charset val="0"/>
        <scheme val="minor"/>
      </rPr>
      <t>)</t>
    </r>
    <r>
      <rPr>
        <sz val="12"/>
        <rFont val="宋体"/>
        <charset val="134"/>
        <scheme val="minor"/>
      </rPr>
      <t>（专线）</t>
    </r>
  </si>
  <si>
    <t>马坡变由于对端容量不足、没有联络导致线路失电，具体原因如下：
1、有马今线、马今二线2条专线；
2、马泰线、马新线、马沿线、马丁线、马工线、马芦线对端容量不足。</t>
  </si>
  <si>
    <t>马园线</t>
  </si>
  <si>
    <t>马工线</t>
  </si>
  <si>
    <t>马蒋线</t>
  </si>
  <si>
    <t>马泰线</t>
  </si>
  <si>
    <t>徐州.高营变</t>
  </si>
  <si>
    <t>高消215开关(遥)（专线）
高淮一211开关(遥)（专线）
高淮二224开关(遥)（专线）
高工225开关(遥)（专线）
高汽一221开关(遥)（专线）
高汽二223开关(遥)（专线）
高开二线134开关(遥)（专线）
高云129开关(遥)（专线）
高河一121开关(遥)（专线）
高华123开关(遥)（专线）
高成一127开关(遥)（专线）</t>
  </si>
  <si>
    <t>高华123开关(遥)：没有联络（失负荷）</t>
  </si>
  <si>
    <t>江苏.房亭变</t>
  </si>
  <si>
    <t>亭工线123开关(遥)（专线）
亭徐线122开关(遥)（专线）
亭苑线110开关(遥)（专线）
亭龙线115开关(遥)（专线）
亭宝125开关(遥)（专线）</t>
  </si>
  <si>
    <t>亭埠线121开关(遥)：对端容量不足
亭工线123开关(遥)：没有联络（失负荷）</t>
  </si>
  <si>
    <t>公线/专线</t>
  </si>
  <si>
    <t>徐州.龙庄变</t>
  </si>
  <si>
    <t>龙安126开关(遥)（专线）
龙政116开关(遥)（专线）
龙官123开关(遥)（专线）
龙任136开关(遥)（专线）
龙洞122开关(遥)（专线）
龙赵112开关(遥)（专线）</t>
  </si>
  <si>
    <t>龙政116开关(遥)：没有联络（失负荷）
龙任136开关(遥)：没有联络（失负荷）</t>
  </si>
  <si>
    <t>徐州.南郊变</t>
  </si>
  <si>
    <t>南建二12G开关(遥)（专线）
南建11J开关(遥)（专线）
南移111开关(遥)（专线）
南师二11L开关(遥)（专线）
南污11K开关(遥)（专线）
南三12A开关(遥)（专线）
南矿127开关(遥)（专线）
南师12E开关(遥)（专线）</t>
  </si>
  <si>
    <t>南师12E开关(遥)：没有联络（失负荷）
南矿127开关(遥)：没有联络（失负荷）</t>
  </si>
  <si>
    <t>徐州.周庙变</t>
  </si>
  <si>
    <t>9</t>
  </si>
  <si>
    <t>周郝117开关(遥)（专线）
周鹿124开关(遥)（专线）</t>
  </si>
  <si>
    <t>周郝117开关(遥)：没有联络（失负荷）
周申123开关(遥)：对端容量不足
周鹿124开关(遥)：没有联络（失负荷）</t>
  </si>
  <si>
    <t>徐州.吕城变</t>
  </si>
  <si>
    <t>吕姚线127开关(遥)（专线）
吕路线126开关(遥)（专线）
吕白线125开关(遥)（专线）
吕贺线116开关(遥)（专线）
吕邢线115开关(遥)（专线）
吕政线129开关(遥)（专线）
吕黄线123开关(遥)（专线）
吕赵线114开关(遥)（专线）
吕马线113开关(遥)（专线）</t>
  </si>
  <si>
    <t>吕贺线116开关(遥)：没有联络（失负荷）
吕黄线123开关(遥)：没有联络（失负荷）</t>
  </si>
  <si>
    <t>徐州.利国变</t>
  </si>
  <si>
    <t>利矿121开关(遥)（专线）
利东111开关(遥)（专线）
利宽113开关(遥)（专线）
利黄116开关(遥)（专线）
利西114开关(遥)（专线）</t>
  </si>
  <si>
    <t>利东111开关(遥)：没有联络（失负荷）
利西114开关(遥)：没有联络（失负荷）</t>
  </si>
  <si>
    <t>徐州.焦山变</t>
  </si>
  <si>
    <t>40</t>
  </si>
  <si>
    <r>
      <t>焦泉一</t>
    </r>
    <r>
      <rPr>
        <sz val="12"/>
        <rFont val="Arial"/>
        <charset val="0"/>
      </rPr>
      <t>117</t>
    </r>
    <r>
      <rPr>
        <sz val="12"/>
        <rFont val="宋体"/>
        <charset val="0"/>
      </rPr>
      <t>开关</t>
    </r>
    <r>
      <rPr>
        <sz val="12"/>
        <rFont val="Arial"/>
        <charset val="0"/>
      </rPr>
      <t>(</t>
    </r>
    <r>
      <rPr>
        <sz val="12"/>
        <rFont val="宋体"/>
        <charset val="0"/>
      </rPr>
      <t>遥</t>
    </r>
    <r>
      <rPr>
        <sz val="12"/>
        <rFont val="Arial"/>
        <charset val="0"/>
      </rPr>
      <t>)</t>
    </r>
    <r>
      <rPr>
        <sz val="12"/>
        <rFont val="宋体"/>
        <charset val="0"/>
      </rPr>
      <t>（专线）</t>
    </r>
    <r>
      <rPr>
        <sz val="12"/>
        <rFont val="Arial"/>
        <charset val="0"/>
      </rPr>
      <t xml:space="preserve">
</t>
    </r>
    <r>
      <rPr>
        <sz val="12"/>
        <rFont val="宋体"/>
        <charset val="0"/>
      </rPr>
      <t>焦美一线</t>
    </r>
    <r>
      <rPr>
        <sz val="12"/>
        <rFont val="Arial"/>
        <charset val="0"/>
      </rPr>
      <t>113</t>
    </r>
    <r>
      <rPr>
        <sz val="12"/>
        <rFont val="宋体"/>
        <charset val="0"/>
      </rPr>
      <t>开关</t>
    </r>
    <r>
      <rPr>
        <sz val="12"/>
        <rFont val="Arial"/>
        <charset val="0"/>
      </rPr>
      <t>(</t>
    </r>
    <r>
      <rPr>
        <sz val="12"/>
        <rFont val="宋体"/>
        <charset val="0"/>
      </rPr>
      <t>遥</t>
    </r>
    <r>
      <rPr>
        <sz val="12"/>
        <rFont val="Arial"/>
        <charset val="0"/>
      </rPr>
      <t>)</t>
    </r>
    <r>
      <rPr>
        <sz val="12"/>
        <rFont val="宋体"/>
        <charset val="0"/>
      </rPr>
      <t>（专线）</t>
    </r>
    <r>
      <rPr>
        <sz val="12"/>
        <rFont val="Arial"/>
        <charset val="0"/>
      </rPr>
      <t xml:space="preserve">
</t>
    </r>
    <r>
      <rPr>
        <sz val="12"/>
        <rFont val="宋体"/>
        <charset val="0"/>
      </rPr>
      <t>焦爱</t>
    </r>
    <r>
      <rPr>
        <sz val="12"/>
        <rFont val="Arial"/>
        <charset val="0"/>
      </rPr>
      <t>114</t>
    </r>
    <r>
      <rPr>
        <sz val="12"/>
        <rFont val="宋体"/>
        <charset val="0"/>
      </rPr>
      <t>开关</t>
    </r>
    <r>
      <rPr>
        <sz val="12"/>
        <rFont val="Arial"/>
        <charset val="0"/>
      </rPr>
      <t>(</t>
    </r>
    <r>
      <rPr>
        <sz val="12"/>
        <rFont val="宋体"/>
        <charset val="0"/>
      </rPr>
      <t>遥</t>
    </r>
    <r>
      <rPr>
        <sz val="12"/>
        <rFont val="Arial"/>
        <charset val="0"/>
      </rPr>
      <t>)</t>
    </r>
    <r>
      <rPr>
        <sz val="12"/>
        <rFont val="宋体"/>
        <charset val="0"/>
      </rPr>
      <t>（专线）</t>
    </r>
    <r>
      <rPr>
        <sz val="12"/>
        <rFont val="Arial"/>
        <charset val="0"/>
      </rPr>
      <t xml:space="preserve">
</t>
    </r>
    <r>
      <rPr>
        <sz val="12"/>
        <rFont val="宋体"/>
        <charset val="0"/>
      </rPr>
      <t>焦澜</t>
    </r>
    <r>
      <rPr>
        <sz val="12"/>
        <rFont val="Arial"/>
        <charset val="0"/>
      </rPr>
      <t>125</t>
    </r>
    <r>
      <rPr>
        <sz val="12"/>
        <rFont val="宋体"/>
        <charset val="0"/>
      </rPr>
      <t>开关</t>
    </r>
    <r>
      <rPr>
        <sz val="12"/>
        <rFont val="Arial"/>
        <charset val="0"/>
      </rPr>
      <t>(</t>
    </r>
    <r>
      <rPr>
        <sz val="12"/>
        <rFont val="宋体"/>
        <charset val="0"/>
      </rPr>
      <t>遥</t>
    </r>
    <r>
      <rPr>
        <sz val="12"/>
        <rFont val="Arial"/>
        <charset val="0"/>
      </rPr>
      <t>)</t>
    </r>
    <r>
      <rPr>
        <sz val="12"/>
        <rFont val="宋体"/>
        <charset val="0"/>
      </rPr>
      <t>（专线）</t>
    </r>
    <r>
      <rPr>
        <sz val="12"/>
        <rFont val="Arial"/>
        <charset val="0"/>
      </rPr>
      <t xml:space="preserve">
</t>
    </r>
    <r>
      <rPr>
        <sz val="12"/>
        <rFont val="宋体"/>
        <charset val="0"/>
      </rPr>
      <t>焦安一</t>
    </r>
    <r>
      <rPr>
        <sz val="12"/>
        <rFont val="Arial"/>
        <charset val="0"/>
      </rPr>
      <t>11N</t>
    </r>
    <r>
      <rPr>
        <sz val="12"/>
        <rFont val="宋体"/>
        <charset val="0"/>
      </rPr>
      <t>开关</t>
    </r>
    <r>
      <rPr>
        <sz val="12"/>
        <rFont val="Arial"/>
        <charset val="0"/>
      </rPr>
      <t>(</t>
    </r>
    <r>
      <rPr>
        <sz val="12"/>
        <rFont val="宋体"/>
        <charset val="0"/>
      </rPr>
      <t>遥</t>
    </r>
    <r>
      <rPr>
        <sz val="12"/>
        <rFont val="Arial"/>
        <charset val="0"/>
      </rPr>
      <t>)</t>
    </r>
    <r>
      <rPr>
        <sz val="12"/>
        <rFont val="宋体"/>
        <charset val="0"/>
      </rPr>
      <t>（专线）</t>
    </r>
    <r>
      <rPr>
        <sz val="12"/>
        <rFont val="Arial"/>
        <charset val="0"/>
      </rPr>
      <t xml:space="preserve">
</t>
    </r>
    <r>
      <rPr>
        <sz val="12"/>
        <rFont val="宋体"/>
        <charset val="0"/>
      </rPr>
      <t>焦医一</t>
    </r>
    <r>
      <rPr>
        <sz val="12"/>
        <rFont val="Arial"/>
        <charset val="0"/>
      </rPr>
      <t>13A</t>
    </r>
    <r>
      <rPr>
        <sz val="12"/>
        <rFont val="宋体"/>
        <charset val="0"/>
      </rPr>
      <t>开关</t>
    </r>
    <r>
      <rPr>
        <sz val="12"/>
        <rFont val="Arial"/>
        <charset val="0"/>
      </rPr>
      <t>(</t>
    </r>
    <r>
      <rPr>
        <sz val="12"/>
        <rFont val="宋体"/>
        <charset val="0"/>
      </rPr>
      <t>遥</t>
    </r>
    <r>
      <rPr>
        <sz val="12"/>
        <rFont val="Arial"/>
        <charset val="0"/>
      </rPr>
      <t>)</t>
    </r>
    <r>
      <rPr>
        <sz val="12"/>
        <rFont val="宋体"/>
        <charset val="0"/>
      </rPr>
      <t>（专线）</t>
    </r>
    <r>
      <rPr>
        <sz val="12"/>
        <rFont val="Arial"/>
        <charset val="0"/>
      </rPr>
      <t xml:space="preserve">
</t>
    </r>
    <r>
      <rPr>
        <sz val="12"/>
        <rFont val="宋体"/>
        <charset val="0"/>
      </rPr>
      <t>焦科二</t>
    </r>
    <r>
      <rPr>
        <sz val="12"/>
        <rFont val="Arial"/>
        <charset val="0"/>
      </rPr>
      <t>121</t>
    </r>
    <r>
      <rPr>
        <sz val="12"/>
        <rFont val="宋体"/>
        <charset val="0"/>
      </rPr>
      <t>开关</t>
    </r>
    <r>
      <rPr>
        <sz val="12"/>
        <rFont val="Arial"/>
        <charset val="0"/>
      </rPr>
      <t>(</t>
    </r>
    <r>
      <rPr>
        <sz val="12"/>
        <rFont val="宋体"/>
        <charset val="0"/>
      </rPr>
      <t>遥</t>
    </r>
    <r>
      <rPr>
        <sz val="12"/>
        <rFont val="Arial"/>
        <charset val="0"/>
      </rPr>
      <t>)</t>
    </r>
    <r>
      <rPr>
        <sz val="12"/>
        <rFont val="宋体"/>
        <charset val="0"/>
      </rPr>
      <t>（专线）</t>
    </r>
    <r>
      <rPr>
        <sz val="12"/>
        <rFont val="Arial"/>
        <charset val="0"/>
      </rPr>
      <t xml:space="preserve">
</t>
    </r>
    <r>
      <rPr>
        <sz val="12"/>
        <rFont val="宋体"/>
        <charset val="0"/>
      </rPr>
      <t>焦医二</t>
    </r>
    <r>
      <rPr>
        <sz val="12"/>
        <rFont val="Arial"/>
        <charset val="0"/>
      </rPr>
      <t>124</t>
    </r>
    <r>
      <rPr>
        <sz val="12"/>
        <rFont val="宋体"/>
        <charset val="0"/>
      </rPr>
      <t>开关</t>
    </r>
    <r>
      <rPr>
        <sz val="12"/>
        <rFont val="Arial"/>
        <charset val="0"/>
      </rPr>
      <t>(</t>
    </r>
    <r>
      <rPr>
        <sz val="12"/>
        <rFont val="宋体"/>
        <charset val="0"/>
      </rPr>
      <t>遥</t>
    </r>
    <r>
      <rPr>
        <sz val="12"/>
        <rFont val="Arial"/>
        <charset val="0"/>
      </rPr>
      <t>)</t>
    </r>
    <r>
      <rPr>
        <sz val="12"/>
        <rFont val="宋体"/>
        <charset val="0"/>
      </rPr>
      <t>（专线）</t>
    </r>
    <r>
      <rPr>
        <sz val="12"/>
        <rFont val="Arial"/>
        <charset val="0"/>
      </rPr>
      <t xml:space="preserve">
</t>
    </r>
    <r>
      <rPr>
        <sz val="12"/>
        <rFont val="宋体"/>
        <charset val="0"/>
      </rPr>
      <t>焦府</t>
    </r>
    <r>
      <rPr>
        <sz val="12"/>
        <rFont val="Arial"/>
        <charset val="0"/>
      </rPr>
      <t>142</t>
    </r>
    <r>
      <rPr>
        <sz val="12"/>
        <rFont val="宋体"/>
        <charset val="0"/>
      </rPr>
      <t>开关</t>
    </r>
    <r>
      <rPr>
        <sz val="12"/>
        <rFont val="Arial"/>
        <charset val="0"/>
      </rPr>
      <t>(</t>
    </r>
    <r>
      <rPr>
        <sz val="12"/>
        <rFont val="宋体"/>
        <charset val="0"/>
      </rPr>
      <t>遥</t>
    </r>
    <r>
      <rPr>
        <sz val="12"/>
        <rFont val="Arial"/>
        <charset val="0"/>
      </rPr>
      <t>)</t>
    </r>
    <r>
      <rPr>
        <sz val="12"/>
        <rFont val="宋体"/>
        <charset val="0"/>
      </rPr>
      <t>（专线）</t>
    </r>
    <r>
      <rPr>
        <sz val="12"/>
        <rFont val="Arial"/>
        <charset val="0"/>
      </rPr>
      <t xml:space="preserve">
</t>
    </r>
    <r>
      <rPr>
        <sz val="12"/>
        <rFont val="宋体"/>
        <charset val="0"/>
      </rPr>
      <t>焦开一</t>
    </r>
    <r>
      <rPr>
        <sz val="12"/>
        <rFont val="Arial"/>
        <charset val="0"/>
      </rPr>
      <t>127</t>
    </r>
    <r>
      <rPr>
        <sz val="12"/>
        <rFont val="宋体"/>
        <charset val="0"/>
      </rPr>
      <t>开关</t>
    </r>
    <r>
      <rPr>
        <sz val="12"/>
        <rFont val="Arial"/>
        <charset val="0"/>
      </rPr>
      <t>(</t>
    </r>
    <r>
      <rPr>
        <sz val="12"/>
        <rFont val="宋体"/>
        <charset val="0"/>
      </rPr>
      <t>遥</t>
    </r>
    <r>
      <rPr>
        <sz val="12"/>
        <rFont val="Arial"/>
        <charset val="0"/>
      </rPr>
      <t>)</t>
    </r>
    <r>
      <rPr>
        <sz val="12"/>
        <rFont val="宋体"/>
        <charset val="0"/>
      </rPr>
      <t>（专线）</t>
    </r>
    <r>
      <rPr>
        <sz val="12"/>
        <rFont val="Arial"/>
        <charset val="0"/>
      </rPr>
      <t xml:space="preserve">
</t>
    </r>
    <r>
      <rPr>
        <sz val="12"/>
        <rFont val="宋体"/>
        <charset val="0"/>
      </rPr>
      <t>焦泉二</t>
    </r>
    <r>
      <rPr>
        <sz val="12"/>
        <rFont val="Arial"/>
        <charset val="0"/>
      </rPr>
      <t>136</t>
    </r>
    <r>
      <rPr>
        <sz val="12"/>
        <rFont val="宋体"/>
        <charset val="0"/>
      </rPr>
      <t>开关</t>
    </r>
    <r>
      <rPr>
        <sz val="12"/>
        <rFont val="Arial"/>
        <charset val="0"/>
      </rPr>
      <t>(</t>
    </r>
    <r>
      <rPr>
        <sz val="12"/>
        <rFont val="宋体"/>
        <charset val="0"/>
      </rPr>
      <t>遥</t>
    </r>
    <r>
      <rPr>
        <sz val="12"/>
        <rFont val="Arial"/>
        <charset val="0"/>
      </rPr>
      <t>)</t>
    </r>
    <r>
      <rPr>
        <sz val="12"/>
        <rFont val="宋体"/>
        <charset val="0"/>
      </rPr>
      <t>（专线）</t>
    </r>
    <r>
      <rPr>
        <sz val="12"/>
        <rFont val="Arial"/>
        <charset val="0"/>
      </rPr>
      <t xml:space="preserve">
</t>
    </r>
    <r>
      <rPr>
        <sz val="12"/>
        <rFont val="宋体"/>
        <charset val="0"/>
      </rPr>
      <t>焦开二</t>
    </r>
    <r>
      <rPr>
        <sz val="12"/>
        <rFont val="Arial"/>
        <charset val="0"/>
      </rPr>
      <t>144</t>
    </r>
    <r>
      <rPr>
        <sz val="12"/>
        <rFont val="宋体"/>
        <charset val="0"/>
      </rPr>
      <t>开关</t>
    </r>
    <r>
      <rPr>
        <sz val="12"/>
        <rFont val="Arial"/>
        <charset val="0"/>
      </rPr>
      <t>(</t>
    </r>
    <r>
      <rPr>
        <sz val="12"/>
        <rFont val="宋体"/>
        <charset val="0"/>
      </rPr>
      <t>遥</t>
    </r>
    <r>
      <rPr>
        <sz val="12"/>
        <rFont val="Arial"/>
        <charset val="0"/>
      </rPr>
      <t>)</t>
    </r>
    <r>
      <rPr>
        <sz val="12"/>
        <rFont val="宋体"/>
        <charset val="0"/>
      </rPr>
      <t>（专线）</t>
    </r>
    <r>
      <rPr>
        <sz val="12"/>
        <rFont val="Arial"/>
        <charset val="0"/>
      </rPr>
      <t xml:space="preserve">
</t>
    </r>
    <r>
      <rPr>
        <sz val="12"/>
        <rFont val="宋体"/>
        <charset val="0"/>
      </rPr>
      <t>焦协</t>
    </r>
    <r>
      <rPr>
        <sz val="12"/>
        <rFont val="Arial"/>
        <charset val="0"/>
      </rPr>
      <t>122</t>
    </r>
    <r>
      <rPr>
        <sz val="12"/>
        <rFont val="宋体"/>
        <charset val="0"/>
      </rPr>
      <t>开关</t>
    </r>
    <r>
      <rPr>
        <sz val="12"/>
        <rFont val="Arial"/>
        <charset val="0"/>
      </rPr>
      <t>(</t>
    </r>
    <r>
      <rPr>
        <sz val="12"/>
        <rFont val="宋体"/>
        <charset val="0"/>
      </rPr>
      <t>遥</t>
    </r>
    <r>
      <rPr>
        <sz val="12"/>
        <rFont val="Arial"/>
        <charset val="0"/>
      </rPr>
      <t>)</t>
    </r>
    <r>
      <rPr>
        <sz val="12"/>
        <rFont val="宋体"/>
        <charset val="0"/>
      </rPr>
      <t>（专线）</t>
    </r>
    <r>
      <rPr>
        <sz val="12"/>
        <rFont val="Arial"/>
        <charset val="0"/>
      </rPr>
      <t xml:space="preserve">
</t>
    </r>
    <r>
      <rPr>
        <sz val="12"/>
        <rFont val="宋体"/>
        <charset val="0"/>
      </rPr>
      <t>焦云</t>
    </r>
    <r>
      <rPr>
        <sz val="12"/>
        <rFont val="Arial"/>
        <charset val="0"/>
      </rPr>
      <t>11F</t>
    </r>
    <r>
      <rPr>
        <sz val="12"/>
        <rFont val="宋体"/>
        <charset val="0"/>
      </rPr>
      <t>开关</t>
    </r>
    <r>
      <rPr>
        <sz val="12"/>
        <rFont val="Arial"/>
        <charset val="0"/>
      </rPr>
      <t>(</t>
    </r>
    <r>
      <rPr>
        <sz val="12"/>
        <rFont val="宋体"/>
        <charset val="0"/>
      </rPr>
      <t>遥</t>
    </r>
    <r>
      <rPr>
        <sz val="12"/>
        <rFont val="Arial"/>
        <charset val="0"/>
      </rPr>
      <t>)</t>
    </r>
    <r>
      <rPr>
        <sz val="12"/>
        <rFont val="宋体"/>
        <charset val="0"/>
      </rPr>
      <t>（专线）</t>
    </r>
    <r>
      <rPr>
        <sz val="12"/>
        <rFont val="Arial"/>
        <charset val="0"/>
      </rPr>
      <t xml:space="preserve">
</t>
    </r>
    <r>
      <rPr>
        <sz val="12"/>
        <rFont val="宋体"/>
        <charset val="0"/>
      </rPr>
      <t>焦科三线</t>
    </r>
    <r>
      <rPr>
        <sz val="12"/>
        <rFont val="Arial"/>
        <charset val="0"/>
      </rPr>
      <t>123</t>
    </r>
    <r>
      <rPr>
        <sz val="12"/>
        <rFont val="宋体"/>
        <charset val="0"/>
      </rPr>
      <t>开关</t>
    </r>
    <r>
      <rPr>
        <sz val="12"/>
        <rFont val="Arial"/>
        <charset val="0"/>
      </rPr>
      <t>(</t>
    </r>
    <r>
      <rPr>
        <sz val="12"/>
        <rFont val="宋体"/>
        <charset val="0"/>
      </rPr>
      <t>遥</t>
    </r>
    <r>
      <rPr>
        <sz val="12"/>
        <rFont val="Arial"/>
        <charset val="0"/>
      </rPr>
      <t>)</t>
    </r>
    <r>
      <rPr>
        <sz val="12"/>
        <rFont val="宋体"/>
        <charset val="0"/>
      </rPr>
      <t>（专线）</t>
    </r>
    <r>
      <rPr>
        <sz val="12"/>
        <rFont val="Arial"/>
        <charset val="0"/>
      </rPr>
      <t xml:space="preserve">
</t>
    </r>
    <r>
      <rPr>
        <sz val="12"/>
        <rFont val="宋体"/>
        <charset val="0"/>
      </rPr>
      <t>焦科一</t>
    </r>
    <r>
      <rPr>
        <sz val="12"/>
        <rFont val="Arial"/>
        <charset val="0"/>
      </rPr>
      <t>11C</t>
    </r>
    <r>
      <rPr>
        <sz val="12"/>
        <rFont val="宋体"/>
        <charset val="0"/>
      </rPr>
      <t>开关</t>
    </r>
    <r>
      <rPr>
        <sz val="12"/>
        <rFont val="Arial"/>
        <charset val="0"/>
      </rPr>
      <t>(</t>
    </r>
    <r>
      <rPr>
        <sz val="12"/>
        <rFont val="宋体"/>
        <charset val="0"/>
      </rPr>
      <t>遥</t>
    </r>
    <r>
      <rPr>
        <sz val="12"/>
        <rFont val="Arial"/>
        <charset val="0"/>
      </rPr>
      <t>)</t>
    </r>
    <r>
      <rPr>
        <sz val="12"/>
        <rFont val="宋体"/>
        <charset val="0"/>
      </rPr>
      <t>（专线）</t>
    </r>
    <r>
      <rPr>
        <sz val="12"/>
        <rFont val="Arial"/>
        <charset val="0"/>
      </rPr>
      <t xml:space="preserve">
</t>
    </r>
    <r>
      <rPr>
        <sz val="12"/>
        <rFont val="宋体"/>
        <charset val="0"/>
      </rPr>
      <t>焦会</t>
    </r>
    <r>
      <rPr>
        <sz val="12"/>
        <rFont val="Arial"/>
        <charset val="0"/>
      </rPr>
      <t>139</t>
    </r>
    <r>
      <rPr>
        <sz val="12"/>
        <rFont val="宋体"/>
        <charset val="0"/>
      </rPr>
      <t>开关</t>
    </r>
    <r>
      <rPr>
        <sz val="12"/>
        <rFont val="Arial"/>
        <charset val="0"/>
      </rPr>
      <t>(</t>
    </r>
    <r>
      <rPr>
        <sz val="12"/>
        <rFont val="宋体"/>
        <charset val="0"/>
      </rPr>
      <t>遥</t>
    </r>
    <r>
      <rPr>
        <sz val="12"/>
        <rFont val="Arial"/>
        <charset val="0"/>
      </rPr>
      <t>)</t>
    </r>
    <r>
      <rPr>
        <sz val="12"/>
        <rFont val="宋体"/>
        <charset val="0"/>
      </rPr>
      <t>（专线）</t>
    </r>
    <r>
      <rPr>
        <sz val="12"/>
        <rFont val="Arial"/>
        <charset val="0"/>
      </rPr>
      <t xml:space="preserve">
</t>
    </r>
    <r>
      <rPr>
        <sz val="12"/>
        <rFont val="宋体"/>
        <charset val="0"/>
      </rPr>
      <t>焦财</t>
    </r>
    <r>
      <rPr>
        <sz val="12"/>
        <rFont val="Arial"/>
        <charset val="0"/>
      </rPr>
      <t>11Q</t>
    </r>
    <r>
      <rPr>
        <sz val="12"/>
        <rFont val="宋体"/>
        <charset val="0"/>
      </rPr>
      <t>开关</t>
    </r>
    <r>
      <rPr>
        <sz val="12"/>
        <rFont val="Arial"/>
        <charset val="0"/>
      </rPr>
      <t>(</t>
    </r>
    <r>
      <rPr>
        <sz val="12"/>
        <rFont val="宋体"/>
        <charset val="0"/>
      </rPr>
      <t>遥</t>
    </r>
    <r>
      <rPr>
        <sz val="12"/>
        <rFont val="Arial"/>
        <charset val="0"/>
      </rPr>
      <t>)</t>
    </r>
    <r>
      <rPr>
        <sz val="12"/>
        <rFont val="宋体"/>
        <charset val="0"/>
      </rPr>
      <t>（专线）</t>
    </r>
    <r>
      <rPr>
        <sz val="12"/>
        <rFont val="Arial"/>
        <charset val="0"/>
      </rPr>
      <t xml:space="preserve">
</t>
    </r>
    <r>
      <rPr>
        <sz val="12"/>
        <rFont val="宋体"/>
        <charset val="0"/>
      </rPr>
      <t>焦洋一</t>
    </r>
    <r>
      <rPr>
        <sz val="12"/>
        <rFont val="Arial"/>
        <charset val="0"/>
      </rPr>
      <t>11M</t>
    </r>
    <r>
      <rPr>
        <sz val="12"/>
        <rFont val="宋体"/>
        <charset val="0"/>
      </rPr>
      <t>开关</t>
    </r>
    <r>
      <rPr>
        <sz val="12"/>
        <rFont val="Arial"/>
        <charset val="0"/>
      </rPr>
      <t>(</t>
    </r>
    <r>
      <rPr>
        <sz val="12"/>
        <rFont val="宋体"/>
        <charset val="0"/>
      </rPr>
      <t>遥</t>
    </r>
    <r>
      <rPr>
        <sz val="12"/>
        <rFont val="Arial"/>
        <charset val="0"/>
      </rPr>
      <t>)</t>
    </r>
    <r>
      <rPr>
        <sz val="12"/>
        <rFont val="宋体"/>
        <charset val="0"/>
      </rPr>
      <t>（专线）</t>
    </r>
    <r>
      <rPr>
        <sz val="12"/>
        <rFont val="Arial"/>
        <charset val="0"/>
      </rPr>
      <t xml:space="preserve">
</t>
    </r>
    <r>
      <rPr>
        <sz val="12"/>
        <rFont val="宋体"/>
        <charset val="0"/>
      </rPr>
      <t>焦凤一</t>
    </r>
    <r>
      <rPr>
        <sz val="12"/>
        <rFont val="Arial"/>
        <charset val="0"/>
      </rPr>
      <t>11L</t>
    </r>
    <r>
      <rPr>
        <sz val="12"/>
        <rFont val="宋体"/>
        <charset val="0"/>
      </rPr>
      <t>开关</t>
    </r>
    <r>
      <rPr>
        <sz val="12"/>
        <rFont val="Arial"/>
        <charset val="0"/>
      </rPr>
      <t>(</t>
    </r>
    <r>
      <rPr>
        <sz val="12"/>
        <rFont val="宋体"/>
        <charset val="0"/>
      </rPr>
      <t>遥</t>
    </r>
    <r>
      <rPr>
        <sz val="12"/>
        <rFont val="Arial"/>
        <charset val="0"/>
      </rPr>
      <t>)</t>
    </r>
    <r>
      <rPr>
        <sz val="12"/>
        <rFont val="宋体"/>
        <charset val="0"/>
      </rPr>
      <t>（专线）</t>
    </r>
  </si>
  <si>
    <t>焦云11F开关(遥)：没有联络（失负荷）</t>
  </si>
  <si>
    <t>徐州.琅溪变</t>
  </si>
  <si>
    <t>琅马线122开关(遥)（专线）
琅北线131开关(遥)（专线）
琅铁线125开关(遥)（专线）
琅田线115开关(遥)（专线）
琅电二线136开关(遥)（专线）
琅镇线133开关(遥)（专线）
琅环线11C开关(遥)（专线）
琅高线11A开关(遥)（专线）
琅精线117开关(遥)（专线）
琅跃线112开关(遥)（专线）
琅学线124开关(遥)（专线）
琅塘线114开关(遥)（专线）
琅魏线123开关(遥)（专线）
琅南线132开关(遥)（专线）
琅健线120开关(遥)（专线）
琅兰线118开关(遥)（专线）</t>
  </si>
  <si>
    <t>琅跃线112开关(遥)：没有联络（失负荷）
琅南线132开关(遥)：没有联络（失负荷）</t>
  </si>
  <si>
    <r>
      <rPr>
        <sz val="12"/>
        <rFont val="宋体"/>
        <charset val="0"/>
      </rPr>
      <t>江苏</t>
    </r>
    <r>
      <rPr>
        <sz val="12"/>
        <rFont val="Arial"/>
        <charset val="0"/>
      </rPr>
      <t>.</t>
    </r>
    <r>
      <rPr>
        <sz val="12"/>
        <rFont val="宋体"/>
        <charset val="0"/>
      </rPr>
      <t>微山湖变</t>
    </r>
  </si>
  <si>
    <t>微峻线155开关(遥)（专线）</t>
  </si>
  <si>
    <t>微八线160开关(遥)：对端容量不足</t>
  </si>
  <si>
    <t>徐州.物流变</t>
  </si>
  <si>
    <t>26</t>
  </si>
  <si>
    <t>物君一线114开关(遥)（专线）
物学线132开关(遥)（专线）
物银143开关(遥)（专线）</t>
  </si>
  <si>
    <t>物康线125开关(遥)：对端容量不足</t>
  </si>
  <si>
    <t>徐州.汉王变</t>
  </si>
  <si>
    <t>汉月116开关(遥)（专线）
汉南112开关(遥)（专线）
汉河119开关(遥)（专线）
汉姜115开关(遥)（专线）
汉正117开关(遥)（专线）</t>
  </si>
  <si>
    <t>汉姜115开关(遥)：没有联络（失负荷）</t>
  </si>
  <si>
    <t>江苏.易城变</t>
  </si>
  <si>
    <t>28</t>
  </si>
  <si>
    <t>17</t>
  </si>
  <si>
    <t>城医二线187开关(遥)（专线）
城医一线136开关(遥)（专线）
易和线189开关(遥)（专线）
易汉线111开关(遥)（专线）
易尚二线181开关(遥)（专线）
易澜线137开关(遥)（专线）
易方线185开关(遥)（专线）
易林四线138开关(遥)（专线）
易热线131开关(遥)（专线）
易樵线113开关(遥)（专线）
易沿线123开关(遥)（专线）</t>
  </si>
  <si>
    <t>易樵线113开关(遥)：没有联络（失负荷）</t>
  </si>
  <si>
    <t>徐州市区</t>
  </si>
  <si>
    <t>茱萸变</t>
  </si>
  <si>
    <t>茱建11G开关（公线）
茱云113开关（公线）
茱盛132开关（公线）
茱谷122开关（专线）
茱程120开关（专线）</t>
  </si>
  <si>
    <t>玉潭变</t>
  </si>
  <si>
    <r>
      <rPr>
        <sz val="12"/>
        <color theme="1"/>
        <rFont val="宋体"/>
        <charset val="134"/>
        <scheme val="minor"/>
      </rPr>
      <t>玉洋线</t>
    </r>
    <r>
      <rPr>
        <sz val="12"/>
        <color theme="1"/>
        <rFont val="宋体"/>
        <charset val="0"/>
        <scheme val="minor"/>
      </rPr>
      <t>154</t>
    </r>
    <r>
      <rPr>
        <sz val="12"/>
        <color theme="1"/>
        <rFont val="宋体"/>
        <charset val="134"/>
        <scheme val="minor"/>
      </rPr>
      <t>开关（专线）</t>
    </r>
    <r>
      <rPr>
        <sz val="12"/>
        <color theme="1"/>
        <rFont val="宋体"/>
        <charset val="0"/>
        <scheme val="minor"/>
      </rPr>
      <t xml:space="preserve">
</t>
    </r>
    <r>
      <rPr>
        <sz val="12"/>
        <color theme="1"/>
        <rFont val="宋体"/>
        <charset val="134"/>
        <scheme val="minor"/>
      </rPr>
      <t>玉民线</t>
    </r>
    <r>
      <rPr>
        <sz val="12"/>
        <color theme="1"/>
        <rFont val="宋体"/>
        <charset val="0"/>
        <scheme val="minor"/>
      </rPr>
      <t>117</t>
    </r>
    <r>
      <rPr>
        <sz val="12"/>
        <color theme="1"/>
        <rFont val="宋体"/>
        <charset val="134"/>
        <scheme val="minor"/>
      </rPr>
      <t>开关（专线）</t>
    </r>
    <r>
      <rPr>
        <sz val="12"/>
        <color theme="1"/>
        <rFont val="宋体"/>
        <charset val="0"/>
        <scheme val="minor"/>
      </rPr>
      <t xml:space="preserve">
</t>
    </r>
    <r>
      <rPr>
        <sz val="12"/>
        <color theme="1"/>
        <rFont val="宋体"/>
        <charset val="134"/>
        <scheme val="minor"/>
      </rPr>
      <t>玉海线</t>
    </r>
    <r>
      <rPr>
        <sz val="12"/>
        <color theme="1"/>
        <rFont val="宋体"/>
        <charset val="0"/>
        <scheme val="minor"/>
      </rPr>
      <t>121</t>
    </r>
    <r>
      <rPr>
        <sz val="12"/>
        <color theme="1"/>
        <rFont val="宋体"/>
        <charset val="134"/>
        <scheme val="minor"/>
      </rPr>
      <t>开关（专线）</t>
    </r>
    <r>
      <rPr>
        <sz val="12"/>
        <color theme="1"/>
        <rFont val="宋体"/>
        <charset val="0"/>
        <scheme val="minor"/>
      </rPr>
      <t xml:space="preserve">
</t>
    </r>
    <r>
      <rPr>
        <sz val="12"/>
        <color theme="1"/>
        <rFont val="宋体"/>
        <charset val="134"/>
        <scheme val="minor"/>
      </rPr>
      <t>玉学线</t>
    </r>
    <r>
      <rPr>
        <sz val="12"/>
        <color theme="1"/>
        <rFont val="宋体"/>
        <charset val="0"/>
        <scheme val="minor"/>
      </rPr>
      <t>151</t>
    </r>
    <r>
      <rPr>
        <sz val="12"/>
        <color theme="1"/>
        <rFont val="宋体"/>
        <charset val="134"/>
        <scheme val="minor"/>
      </rPr>
      <t>开关（专线）</t>
    </r>
    <r>
      <rPr>
        <sz val="12"/>
        <color theme="1"/>
        <rFont val="宋体"/>
        <charset val="0"/>
        <scheme val="minor"/>
      </rPr>
      <t xml:space="preserve">
</t>
    </r>
    <r>
      <rPr>
        <sz val="12"/>
        <color theme="1"/>
        <rFont val="宋体"/>
        <charset val="134"/>
        <scheme val="minor"/>
      </rPr>
      <t>玉九二线</t>
    </r>
    <r>
      <rPr>
        <sz val="12"/>
        <color theme="1"/>
        <rFont val="宋体"/>
        <charset val="0"/>
        <scheme val="minor"/>
      </rPr>
      <t>165</t>
    </r>
    <r>
      <rPr>
        <sz val="12"/>
        <color theme="1"/>
        <rFont val="宋体"/>
        <charset val="134"/>
        <scheme val="minor"/>
      </rPr>
      <t>开关（专线）</t>
    </r>
  </si>
  <si>
    <t>响山变</t>
  </si>
  <si>
    <t>响淀线131开关（公线）
响资一线143开关（专线）
响新线132开关（专线）
响庆线121开关（专线）</t>
  </si>
  <si>
    <t>夏桥变</t>
  </si>
  <si>
    <r>
      <rPr>
        <sz val="12"/>
        <color theme="1"/>
        <rFont val="宋体"/>
        <charset val="134"/>
        <scheme val="minor"/>
      </rPr>
      <t>夏广线</t>
    </r>
    <r>
      <rPr>
        <sz val="12"/>
        <color theme="1"/>
        <rFont val="宋体"/>
        <charset val="0"/>
        <scheme val="minor"/>
      </rPr>
      <t>122</t>
    </r>
    <r>
      <rPr>
        <sz val="12"/>
        <color theme="1"/>
        <rFont val="宋体"/>
        <charset val="134"/>
        <scheme val="minor"/>
      </rPr>
      <t>开关（公线）</t>
    </r>
    <r>
      <rPr>
        <sz val="12"/>
        <color theme="1"/>
        <rFont val="宋体"/>
        <charset val="0"/>
        <scheme val="minor"/>
      </rPr>
      <t xml:space="preserve">
</t>
    </r>
    <r>
      <rPr>
        <sz val="12"/>
        <color theme="1"/>
        <rFont val="宋体"/>
        <charset val="134"/>
        <scheme val="minor"/>
      </rPr>
      <t>夏井线</t>
    </r>
    <r>
      <rPr>
        <sz val="12"/>
        <color theme="1"/>
        <rFont val="宋体"/>
        <charset val="0"/>
        <scheme val="minor"/>
      </rPr>
      <t>114</t>
    </r>
    <r>
      <rPr>
        <sz val="12"/>
        <color theme="1"/>
        <rFont val="宋体"/>
        <charset val="134"/>
        <scheme val="minor"/>
      </rPr>
      <t>开关（公线）</t>
    </r>
    <r>
      <rPr>
        <sz val="12"/>
        <color theme="1"/>
        <rFont val="宋体"/>
        <charset val="0"/>
        <scheme val="minor"/>
      </rPr>
      <t xml:space="preserve">
</t>
    </r>
    <r>
      <rPr>
        <sz val="12"/>
        <color theme="1"/>
        <rFont val="宋体"/>
        <charset val="134"/>
        <scheme val="minor"/>
      </rPr>
      <t>夏水线</t>
    </r>
    <r>
      <rPr>
        <sz val="12"/>
        <color theme="1"/>
        <rFont val="宋体"/>
        <charset val="0"/>
        <scheme val="minor"/>
      </rPr>
      <t>120</t>
    </r>
    <r>
      <rPr>
        <sz val="12"/>
        <color theme="1"/>
        <rFont val="宋体"/>
        <charset val="134"/>
        <scheme val="minor"/>
      </rPr>
      <t>开关（专线）</t>
    </r>
    <r>
      <rPr>
        <sz val="12"/>
        <color theme="1"/>
        <rFont val="宋体"/>
        <charset val="0"/>
        <scheme val="minor"/>
      </rPr>
      <t xml:space="preserve">
</t>
    </r>
    <r>
      <rPr>
        <sz val="12"/>
        <color theme="1"/>
        <rFont val="宋体"/>
        <charset val="134"/>
        <scheme val="minor"/>
      </rPr>
      <t>夏医线</t>
    </r>
    <r>
      <rPr>
        <sz val="12"/>
        <color theme="1"/>
        <rFont val="宋体"/>
        <charset val="0"/>
        <scheme val="minor"/>
      </rPr>
      <t>116</t>
    </r>
    <r>
      <rPr>
        <sz val="12"/>
        <color theme="1"/>
        <rFont val="宋体"/>
        <charset val="134"/>
        <scheme val="minor"/>
      </rPr>
      <t>开关（专线）</t>
    </r>
  </si>
  <si>
    <t>佟村变</t>
  </si>
  <si>
    <t>42</t>
  </si>
  <si>
    <t>32</t>
  </si>
  <si>
    <t>佟高线132开关（专线）
佟山二线136开关（专线）
佟湖线143开关（专线）
佟欧二线133开关（专线）
佟站线166开关（专线）
佟医一线165开关（专线）
佟医二线173开关（专线）
佟欧一线116开关（专线）
佟铁线175开关（专线）
佟绿二线154开关（专线）</t>
  </si>
  <si>
    <t>升辉变</t>
  </si>
  <si>
    <r>
      <rPr>
        <sz val="12"/>
        <color theme="1"/>
        <rFont val="宋体"/>
        <charset val="134"/>
        <scheme val="minor"/>
      </rPr>
      <t>升商线</t>
    </r>
    <r>
      <rPr>
        <sz val="12"/>
        <color theme="1"/>
        <rFont val="宋体"/>
        <charset val="0"/>
        <scheme val="minor"/>
      </rPr>
      <t>155</t>
    </r>
    <r>
      <rPr>
        <sz val="12"/>
        <color theme="1"/>
        <rFont val="宋体"/>
        <charset val="134"/>
        <scheme val="minor"/>
      </rPr>
      <t>开关（专线）</t>
    </r>
    <r>
      <rPr>
        <sz val="12"/>
        <color theme="1"/>
        <rFont val="宋体"/>
        <charset val="0"/>
        <scheme val="minor"/>
      </rPr>
      <t xml:space="preserve">
</t>
    </r>
    <r>
      <rPr>
        <sz val="12"/>
        <color theme="1"/>
        <rFont val="宋体"/>
        <charset val="134"/>
        <scheme val="minor"/>
      </rPr>
      <t>升品线</t>
    </r>
    <r>
      <rPr>
        <sz val="12"/>
        <color theme="1"/>
        <rFont val="宋体"/>
        <charset val="0"/>
        <scheme val="minor"/>
      </rPr>
      <t>128</t>
    </r>
    <r>
      <rPr>
        <sz val="12"/>
        <color theme="1"/>
        <rFont val="宋体"/>
        <charset val="134"/>
        <scheme val="minor"/>
      </rPr>
      <t>开关（专线）</t>
    </r>
    <r>
      <rPr>
        <sz val="12"/>
        <color theme="1"/>
        <rFont val="宋体"/>
        <charset val="0"/>
        <scheme val="minor"/>
      </rPr>
      <t xml:space="preserve">
</t>
    </r>
    <r>
      <rPr>
        <sz val="12"/>
        <color theme="1"/>
        <rFont val="宋体"/>
        <charset val="134"/>
        <scheme val="minor"/>
      </rPr>
      <t>升业</t>
    </r>
    <r>
      <rPr>
        <sz val="12"/>
        <color theme="1"/>
        <rFont val="宋体"/>
        <charset val="0"/>
        <scheme val="minor"/>
      </rPr>
      <t>125</t>
    </r>
    <r>
      <rPr>
        <sz val="12"/>
        <color theme="1"/>
        <rFont val="宋体"/>
        <charset val="134"/>
        <scheme val="minor"/>
      </rPr>
      <t>开关（专线）</t>
    </r>
  </si>
  <si>
    <t>山南变</t>
  </si>
  <si>
    <t/>
  </si>
  <si>
    <t>泉河变</t>
  </si>
  <si>
    <r>
      <rPr>
        <b/>
        <sz val="12"/>
        <color theme="1"/>
        <rFont val="宋体"/>
        <charset val="134"/>
        <scheme val="minor"/>
      </rPr>
      <t>同站联络线路：</t>
    </r>
    <r>
      <rPr>
        <sz val="12"/>
        <color theme="1"/>
        <rFont val="宋体"/>
        <charset val="134"/>
        <scheme val="minor"/>
      </rPr>
      <t>泉山线</t>
    </r>
  </si>
  <si>
    <t>清洁园变</t>
  </si>
  <si>
    <t>园户线116开关（专线）
园佰线123开关（专线）
园前线117开关（专线）
园峰线124开关（专线）
园化线134开关（专线）
园东线135开关（专线）
园芯线11C开关（专线）</t>
  </si>
  <si>
    <t>青山泉变</t>
  </si>
  <si>
    <r>
      <rPr>
        <b/>
        <sz val="12"/>
        <color theme="1"/>
        <rFont val="宋体"/>
        <charset val="134"/>
        <scheme val="minor"/>
      </rPr>
      <t>专线：</t>
    </r>
    <r>
      <rPr>
        <sz val="12"/>
        <color theme="1"/>
        <rFont val="宋体"/>
        <charset val="134"/>
        <scheme val="minor"/>
      </rPr>
      <t>青华线118开关、青管线116开关、青纺线126开关</t>
    </r>
    <r>
      <rPr>
        <sz val="12"/>
        <color theme="1"/>
        <rFont val="宋体"/>
        <charset val="0"/>
        <scheme val="minor"/>
      </rPr>
      <t xml:space="preserve">
</t>
    </r>
    <r>
      <rPr>
        <b/>
        <sz val="12"/>
        <color theme="1"/>
        <rFont val="宋体"/>
        <charset val="134"/>
        <scheme val="minor"/>
      </rPr>
      <t>单辐射线路：</t>
    </r>
    <r>
      <rPr>
        <sz val="12"/>
        <color theme="1"/>
        <rFont val="宋体"/>
        <charset val="134"/>
        <scheme val="minor"/>
      </rPr>
      <t>青申</t>
    </r>
    <r>
      <rPr>
        <sz val="12"/>
        <color theme="1"/>
        <rFont val="宋体"/>
        <charset val="0"/>
        <scheme val="minor"/>
      </rPr>
      <t>117</t>
    </r>
    <r>
      <rPr>
        <sz val="12"/>
        <color theme="1"/>
        <rFont val="宋体"/>
        <charset val="134"/>
        <scheme val="minor"/>
      </rPr>
      <t>开关（公线）</t>
    </r>
    <r>
      <rPr>
        <sz val="12"/>
        <color theme="1"/>
        <rFont val="宋体"/>
        <charset val="0"/>
        <scheme val="minor"/>
      </rPr>
      <t xml:space="preserve">
</t>
    </r>
    <r>
      <rPr>
        <b/>
        <sz val="12"/>
        <color theme="1"/>
        <rFont val="宋体"/>
        <charset val="134"/>
        <scheme val="minor"/>
      </rPr>
      <t>同站联络线路：</t>
    </r>
    <r>
      <rPr>
        <sz val="12"/>
        <color theme="1"/>
        <rFont val="宋体"/>
        <charset val="134"/>
        <scheme val="minor"/>
      </rPr>
      <t>青园线129开关、青山线112开关、青泉一线115开关、青泉四线122开关、青泉三线110开关、青农三线121开关、青八线113开关</t>
    </r>
  </si>
  <si>
    <t>彭场变</t>
  </si>
  <si>
    <r>
      <rPr>
        <b/>
        <sz val="12"/>
        <color theme="1"/>
        <rFont val="宋体"/>
        <charset val="134"/>
        <scheme val="minor"/>
      </rPr>
      <t>专线：</t>
    </r>
    <r>
      <rPr>
        <sz val="12"/>
        <color theme="1"/>
        <rFont val="宋体"/>
        <charset val="134"/>
        <scheme val="minor"/>
      </rPr>
      <t xml:space="preserve">彭星线127开关、彭路线123开关、彭驹线131开关、彭金一线135开关、彭金二线129开关、彭德线105开关、彭博线154开关
</t>
    </r>
    <r>
      <rPr>
        <b/>
        <sz val="12"/>
        <color theme="1"/>
        <rFont val="宋体"/>
        <charset val="134"/>
        <scheme val="minor"/>
      </rPr>
      <t>同站联络线路：</t>
    </r>
    <r>
      <rPr>
        <sz val="12"/>
        <color theme="1"/>
        <rFont val="宋体"/>
        <charset val="134"/>
        <scheme val="minor"/>
      </rPr>
      <t>彭原一线141开关、彭原二线142开关、彭清一线150开关、彭清二线164开关、彭美线153开关、彭郡线162开关、彭嘉线119开关、彭华线152开关、彭城线144开关、彭滨一线121开关、彭滨二线124开关</t>
    </r>
  </si>
  <si>
    <t>庞庄变</t>
  </si>
  <si>
    <r>
      <rPr>
        <sz val="12"/>
        <color theme="1"/>
        <rFont val="宋体"/>
        <charset val="134"/>
        <scheme val="minor"/>
      </rPr>
      <t>庞楼线</t>
    </r>
    <r>
      <rPr>
        <sz val="12"/>
        <color theme="1"/>
        <rFont val="宋体"/>
        <charset val="0"/>
        <scheme val="minor"/>
      </rPr>
      <t>120</t>
    </r>
    <r>
      <rPr>
        <sz val="12"/>
        <color theme="1"/>
        <rFont val="宋体"/>
        <charset val="134"/>
        <scheme val="minor"/>
      </rPr>
      <t>开关（专线）</t>
    </r>
    <r>
      <rPr>
        <sz val="12"/>
        <color theme="1"/>
        <rFont val="宋体"/>
        <charset val="0"/>
        <scheme val="minor"/>
      </rPr>
      <t xml:space="preserve">
</t>
    </r>
    <r>
      <rPr>
        <sz val="12"/>
        <color theme="1"/>
        <rFont val="宋体"/>
        <charset val="134"/>
        <scheme val="minor"/>
      </rPr>
      <t>庞中</t>
    </r>
    <r>
      <rPr>
        <sz val="12"/>
        <color theme="1"/>
        <rFont val="宋体"/>
        <charset val="0"/>
        <scheme val="minor"/>
      </rPr>
      <t>113</t>
    </r>
    <r>
      <rPr>
        <sz val="12"/>
        <color theme="1"/>
        <rFont val="宋体"/>
        <charset val="134"/>
        <scheme val="minor"/>
      </rPr>
      <t>开关（专线）</t>
    </r>
    <r>
      <rPr>
        <sz val="12"/>
        <color theme="1"/>
        <rFont val="宋体"/>
        <charset val="0"/>
        <scheme val="minor"/>
      </rPr>
      <t xml:space="preserve">
</t>
    </r>
    <r>
      <rPr>
        <sz val="12"/>
        <color theme="1"/>
        <rFont val="宋体"/>
        <charset val="134"/>
        <scheme val="minor"/>
      </rPr>
      <t>庞科</t>
    </r>
    <r>
      <rPr>
        <sz val="12"/>
        <color theme="1"/>
        <rFont val="宋体"/>
        <charset val="0"/>
        <scheme val="minor"/>
      </rPr>
      <t>114</t>
    </r>
    <r>
      <rPr>
        <sz val="12"/>
        <color theme="1"/>
        <rFont val="宋体"/>
        <charset val="134"/>
        <scheme val="minor"/>
      </rPr>
      <t>开关（专线）</t>
    </r>
  </si>
  <si>
    <t>庙山变</t>
  </si>
  <si>
    <t>庙酒线106开关（公线）
庙水线111开关（专线）
庙夏线103开关（公线）
庙虎线105开关（公线）
庙港线112开关（专线）
庙运线108开关（公线）
庙水二线110开关（专线）</t>
  </si>
  <si>
    <t>龙山变</t>
  </si>
  <si>
    <r>
      <rPr>
        <sz val="12"/>
        <color theme="1"/>
        <rFont val="宋体"/>
        <charset val="134"/>
        <scheme val="minor"/>
      </rPr>
      <t>龙水线</t>
    </r>
    <r>
      <rPr>
        <sz val="12"/>
        <color theme="1"/>
        <rFont val="宋体"/>
        <charset val="0"/>
        <scheme val="minor"/>
      </rPr>
      <t>113</t>
    </r>
    <r>
      <rPr>
        <sz val="12"/>
        <color theme="1"/>
        <rFont val="宋体"/>
        <charset val="134"/>
        <scheme val="minor"/>
      </rPr>
      <t>开关（专线）</t>
    </r>
    <r>
      <rPr>
        <sz val="12"/>
        <color theme="1"/>
        <rFont val="宋体"/>
        <charset val="0"/>
        <scheme val="minor"/>
      </rPr>
      <t xml:space="preserve">
</t>
    </r>
    <r>
      <rPr>
        <sz val="12"/>
        <color theme="1"/>
        <rFont val="宋体"/>
        <charset val="134"/>
        <scheme val="minor"/>
      </rPr>
      <t>龙美线</t>
    </r>
    <r>
      <rPr>
        <sz val="12"/>
        <color theme="1"/>
        <rFont val="宋体"/>
        <charset val="0"/>
        <scheme val="minor"/>
      </rPr>
      <t>109</t>
    </r>
    <r>
      <rPr>
        <sz val="12"/>
        <color theme="1"/>
        <rFont val="宋体"/>
        <charset val="134"/>
        <scheme val="minor"/>
      </rPr>
      <t>开关（专线）</t>
    </r>
  </si>
  <si>
    <t>龙湖变</t>
  </si>
  <si>
    <r>
      <rPr>
        <sz val="12"/>
        <color theme="1"/>
        <rFont val="宋体"/>
        <charset val="134"/>
        <scheme val="minor"/>
      </rPr>
      <t>湖玺线</t>
    </r>
    <r>
      <rPr>
        <sz val="12"/>
        <color theme="1"/>
        <rFont val="宋体"/>
        <charset val="0"/>
        <scheme val="minor"/>
      </rPr>
      <t>146</t>
    </r>
    <r>
      <rPr>
        <sz val="12"/>
        <color theme="1"/>
        <rFont val="宋体"/>
        <charset val="134"/>
        <scheme val="minor"/>
      </rPr>
      <t>开关（专线）</t>
    </r>
    <r>
      <rPr>
        <sz val="12"/>
        <color theme="1"/>
        <rFont val="宋体"/>
        <charset val="0"/>
        <scheme val="minor"/>
      </rPr>
      <t xml:space="preserve">
</t>
    </r>
    <r>
      <rPr>
        <sz val="12"/>
        <color theme="1"/>
        <rFont val="宋体"/>
        <charset val="134"/>
        <scheme val="minor"/>
      </rPr>
      <t>湖安线</t>
    </r>
    <r>
      <rPr>
        <sz val="12"/>
        <color theme="1"/>
        <rFont val="宋体"/>
        <charset val="0"/>
        <scheme val="minor"/>
      </rPr>
      <t>110</t>
    </r>
    <r>
      <rPr>
        <sz val="12"/>
        <color theme="1"/>
        <rFont val="宋体"/>
        <charset val="134"/>
        <scheme val="minor"/>
      </rPr>
      <t>开关（公线）</t>
    </r>
  </si>
  <si>
    <t>A</t>
  </si>
  <si>
    <t>荆台变</t>
  </si>
  <si>
    <t xml:space="preserve">荆宝线112开关（专线）
荆达线110开关（专线）
荆湖线107开关（公线）
</t>
  </si>
  <si>
    <t>惠民变</t>
  </si>
  <si>
    <t>36</t>
  </si>
  <si>
    <r>
      <rPr>
        <b/>
        <sz val="12"/>
        <color theme="1"/>
        <rFont val="宋体"/>
        <charset val="134"/>
        <scheme val="minor"/>
      </rPr>
      <t>专线：</t>
    </r>
    <r>
      <rPr>
        <sz val="12"/>
        <color theme="1"/>
        <rFont val="宋体"/>
        <charset val="134"/>
        <scheme val="minor"/>
      </rPr>
      <t xml:space="preserve">惠悦线138开关、惠院一线113开关、惠院二线132开关、惠市一线153开关、惠市二线114开关、惠商一线105开关、惠馆线133开关、惠工一线149开关、惠城一线141开关、惠城二线130开关
</t>
    </r>
    <r>
      <rPr>
        <b/>
        <sz val="12"/>
        <color theme="1"/>
        <rFont val="宋体"/>
        <charset val="134"/>
        <scheme val="minor"/>
      </rPr>
      <t>同站联络线路：</t>
    </r>
    <r>
      <rPr>
        <sz val="12"/>
        <color theme="1"/>
        <rFont val="宋体"/>
        <charset val="134"/>
        <scheme val="minor"/>
      </rPr>
      <t xml:space="preserve">惠站线128开关、惠网线118开关、惠龙一线109开关、惠龙二线119开关、惠环线151开关、惠湖线143开关
</t>
    </r>
    <r>
      <rPr>
        <b/>
        <sz val="12"/>
        <color theme="1"/>
        <rFont val="宋体"/>
        <charset val="134"/>
        <scheme val="minor"/>
      </rPr>
      <t>单辐射线路：</t>
    </r>
    <r>
      <rPr>
        <sz val="12"/>
        <color theme="1"/>
        <rFont val="宋体"/>
        <charset val="134"/>
        <scheme val="minor"/>
      </rPr>
      <t>惠奥二线108开关</t>
    </r>
  </si>
  <si>
    <t>房上变</t>
  </si>
  <si>
    <r>
      <rPr>
        <sz val="12"/>
        <color theme="1"/>
        <rFont val="宋体"/>
        <charset val="134"/>
        <scheme val="minor"/>
      </rPr>
      <t>房王线</t>
    </r>
    <r>
      <rPr>
        <sz val="12"/>
        <color theme="1"/>
        <rFont val="宋体"/>
        <charset val="0"/>
        <scheme val="minor"/>
      </rPr>
      <t>113</t>
    </r>
    <r>
      <rPr>
        <sz val="12"/>
        <color theme="1"/>
        <rFont val="宋体"/>
        <charset val="134"/>
        <scheme val="minor"/>
      </rPr>
      <t>开关（公线）</t>
    </r>
    <r>
      <rPr>
        <sz val="12"/>
        <color theme="1"/>
        <rFont val="宋体"/>
        <charset val="0"/>
        <scheme val="minor"/>
      </rPr>
      <t xml:space="preserve">
</t>
    </r>
    <r>
      <rPr>
        <sz val="12"/>
        <color theme="1"/>
        <rFont val="宋体"/>
        <charset val="134"/>
        <scheme val="minor"/>
      </rPr>
      <t>房一线</t>
    </r>
    <r>
      <rPr>
        <sz val="12"/>
        <color theme="1"/>
        <rFont val="宋体"/>
        <charset val="0"/>
        <scheme val="minor"/>
      </rPr>
      <t>114</t>
    </r>
    <r>
      <rPr>
        <sz val="12"/>
        <color theme="1"/>
        <rFont val="宋体"/>
        <charset val="134"/>
        <scheme val="minor"/>
      </rPr>
      <t>开关（公线）</t>
    </r>
  </si>
  <si>
    <t>东山变</t>
  </si>
  <si>
    <r>
      <rPr>
        <sz val="12"/>
        <color theme="1"/>
        <rFont val="宋体"/>
        <charset val="134"/>
        <scheme val="minor"/>
      </rPr>
      <t>东利线</t>
    </r>
    <r>
      <rPr>
        <sz val="12"/>
        <color theme="1"/>
        <rFont val="宋体"/>
        <charset val="0"/>
        <scheme val="minor"/>
      </rPr>
      <t>12F</t>
    </r>
    <r>
      <rPr>
        <sz val="12"/>
        <color theme="1"/>
        <rFont val="宋体"/>
        <charset val="134"/>
        <scheme val="minor"/>
      </rPr>
      <t>开关（专线）</t>
    </r>
    <r>
      <rPr>
        <sz val="12"/>
        <color theme="1"/>
        <rFont val="宋体"/>
        <charset val="0"/>
        <scheme val="minor"/>
      </rPr>
      <t xml:space="preserve">
</t>
    </r>
    <r>
      <rPr>
        <sz val="12"/>
        <color theme="1"/>
        <rFont val="宋体"/>
        <charset val="134"/>
        <scheme val="minor"/>
      </rPr>
      <t>东新</t>
    </r>
    <r>
      <rPr>
        <sz val="12"/>
        <color theme="1"/>
        <rFont val="宋体"/>
        <charset val="0"/>
        <scheme val="minor"/>
      </rPr>
      <t>B</t>
    </r>
    <r>
      <rPr>
        <sz val="12"/>
        <color theme="1"/>
        <rFont val="宋体"/>
        <charset val="134"/>
        <scheme val="minor"/>
      </rPr>
      <t>线</t>
    </r>
    <r>
      <rPr>
        <sz val="12"/>
        <color theme="1"/>
        <rFont val="宋体"/>
        <charset val="0"/>
        <scheme val="minor"/>
      </rPr>
      <t>123</t>
    </r>
    <r>
      <rPr>
        <sz val="12"/>
        <color theme="1"/>
        <rFont val="宋体"/>
        <charset val="134"/>
        <scheme val="minor"/>
      </rPr>
      <t>开关（专线）</t>
    </r>
    <r>
      <rPr>
        <sz val="12"/>
        <color theme="1"/>
        <rFont val="宋体"/>
        <charset val="0"/>
        <scheme val="minor"/>
      </rPr>
      <t xml:space="preserve">
</t>
    </r>
    <r>
      <rPr>
        <sz val="12"/>
        <color theme="1"/>
        <rFont val="宋体"/>
        <charset val="134"/>
        <scheme val="minor"/>
      </rPr>
      <t>东开一线</t>
    </r>
    <r>
      <rPr>
        <sz val="12"/>
        <color theme="1"/>
        <rFont val="宋体"/>
        <charset val="0"/>
        <scheme val="minor"/>
      </rPr>
      <t>112</t>
    </r>
    <r>
      <rPr>
        <sz val="12"/>
        <color theme="1"/>
        <rFont val="宋体"/>
        <charset val="134"/>
        <scheme val="minor"/>
      </rPr>
      <t>开关（专线）</t>
    </r>
    <r>
      <rPr>
        <sz val="12"/>
        <color theme="1"/>
        <rFont val="宋体"/>
        <charset val="0"/>
        <scheme val="minor"/>
      </rPr>
      <t xml:space="preserve">
</t>
    </r>
    <r>
      <rPr>
        <sz val="12"/>
        <color theme="1"/>
        <rFont val="宋体"/>
        <charset val="134"/>
        <scheme val="minor"/>
      </rPr>
      <t>东韩</t>
    </r>
    <r>
      <rPr>
        <sz val="12"/>
        <color theme="1"/>
        <rFont val="宋体"/>
        <charset val="0"/>
        <scheme val="minor"/>
      </rPr>
      <t>B</t>
    </r>
    <r>
      <rPr>
        <sz val="12"/>
        <color theme="1"/>
        <rFont val="宋体"/>
        <charset val="134"/>
        <scheme val="minor"/>
      </rPr>
      <t>线</t>
    </r>
    <r>
      <rPr>
        <sz val="12"/>
        <color theme="1"/>
        <rFont val="宋体"/>
        <charset val="0"/>
        <scheme val="minor"/>
      </rPr>
      <t>125</t>
    </r>
    <r>
      <rPr>
        <sz val="12"/>
        <color theme="1"/>
        <rFont val="宋体"/>
        <charset val="134"/>
        <scheme val="minor"/>
      </rPr>
      <t>开关（专线）</t>
    </r>
    <r>
      <rPr>
        <sz val="12"/>
        <color theme="1"/>
        <rFont val="宋体"/>
        <charset val="0"/>
        <scheme val="minor"/>
      </rPr>
      <t xml:space="preserve">
</t>
    </r>
    <r>
      <rPr>
        <sz val="12"/>
        <color theme="1"/>
        <rFont val="宋体"/>
        <charset val="134"/>
        <scheme val="minor"/>
      </rPr>
      <t>东步线</t>
    </r>
    <r>
      <rPr>
        <sz val="12"/>
        <color theme="1"/>
        <rFont val="宋体"/>
        <charset val="0"/>
        <scheme val="minor"/>
      </rPr>
      <t>12C</t>
    </r>
    <r>
      <rPr>
        <sz val="12"/>
        <color theme="1"/>
        <rFont val="宋体"/>
        <charset val="134"/>
        <scheme val="minor"/>
      </rPr>
      <t>开关（专线）</t>
    </r>
    <r>
      <rPr>
        <sz val="12"/>
        <color theme="1"/>
        <rFont val="宋体"/>
        <charset val="0"/>
        <scheme val="minor"/>
      </rPr>
      <t xml:space="preserve">
</t>
    </r>
    <r>
      <rPr>
        <sz val="12"/>
        <color theme="1"/>
        <rFont val="宋体"/>
        <charset val="134"/>
        <scheme val="minor"/>
      </rPr>
      <t>东岗线</t>
    </r>
    <r>
      <rPr>
        <sz val="12"/>
        <color theme="1"/>
        <rFont val="宋体"/>
        <charset val="0"/>
        <scheme val="minor"/>
      </rPr>
      <t>114</t>
    </r>
    <r>
      <rPr>
        <sz val="12"/>
        <color theme="1"/>
        <rFont val="宋体"/>
        <charset val="134"/>
        <scheme val="minor"/>
      </rPr>
      <t>开关（公线）</t>
    </r>
  </si>
  <si>
    <t>110kV东山变全停后，35kV夏桥变全停，导致东山变部分联络线路失效。10kV1母线东韩A线、东贾A线失电；10kV2母线东新B线、东韩B线、东利线失电</t>
  </si>
  <si>
    <t>东韩A线</t>
  </si>
  <si>
    <t>东贾A线</t>
  </si>
  <si>
    <t>东新B线</t>
  </si>
  <si>
    <t>东韩B线</t>
  </si>
  <si>
    <t>东利12F线</t>
  </si>
  <si>
    <t>堤北变</t>
  </si>
  <si>
    <t>30</t>
  </si>
  <si>
    <t>专线：堤医一线129开关、堤医二线134开关、堤鼓一线133开关、堤鼓二线130开关
同站联络线路：堤尚线堤风一线103开关、堤润线堤风二线110开关、堤健线137开关、堤华线123开关、堤湖线118开关、堤滨线117开关</t>
  </si>
  <si>
    <t xml:space="preserve">堤北变10kV3母线应返带容量不足，导致堤尚线堤风一线、堤环线失电；
</t>
  </si>
  <si>
    <t>堤尚线堤风一线</t>
  </si>
  <si>
    <t>堤环线</t>
  </si>
  <si>
    <t>大杏沃变</t>
  </si>
  <si>
    <r>
      <rPr>
        <sz val="12"/>
        <color theme="1"/>
        <rFont val="宋体"/>
        <charset val="134"/>
        <scheme val="minor"/>
      </rPr>
      <t>杏中线</t>
    </r>
    <r>
      <rPr>
        <sz val="12"/>
        <color theme="1"/>
        <rFont val="宋体"/>
        <charset val="0"/>
        <scheme val="minor"/>
      </rPr>
      <t>114</t>
    </r>
    <r>
      <rPr>
        <sz val="12"/>
        <color theme="1"/>
        <rFont val="宋体"/>
        <charset val="134"/>
        <scheme val="minor"/>
      </rPr>
      <t>开关（公线）</t>
    </r>
  </si>
  <si>
    <t>不老河变</t>
  </si>
  <si>
    <r>
      <rPr>
        <b/>
        <sz val="12"/>
        <color theme="1"/>
        <rFont val="宋体"/>
        <charset val="134"/>
        <scheme val="minor"/>
      </rPr>
      <t>同站联络线路：</t>
    </r>
    <r>
      <rPr>
        <sz val="12"/>
        <color theme="1"/>
        <rFont val="宋体"/>
        <charset val="134"/>
        <scheme val="minor"/>
      </rPr>
      <t xml:space="preserve">河龙线116开关、河业线126开关、河恩128开关
</t>
    </r>
    <r>
      <rPr>
        <b/>
        <sz val="12"/>
        <color theme="1"/>
        <rFont val="宋体"/>
        <charset val="134"/>
        <scheme val="minor"/>
      </rPr>
      <t>单辐射线路：</t>
    </r>
    <r>
      <rPr>
        <sz val="12"/>
        <color theme="1"/>
        <rFont val="宋体"/>
        <charset val="134"/>
        <scheme val="minor"/>
      </rPr>
      <t>河中线117开关、河健线127开关、河安118开关</t>
    </r>
  </si>
  <si>
    <t>汴塘变</t>
  </si>
  <si>
    <t>专线：汴水112开关（专线）
同站联络线路：汴茸122开关（公线）汴马114开关（公线）汴城115开关（公线）</t>
  </si>
  <si>
    <t>汴塘变10kV1母线应返带容量不足，导致汴茸线失电；
汴塘变10kV2母线应返带容量不足，导致汴马线、汴水线失电</t>
  </si>
  <si>
    <t>汴茸线</t>
  </si>
  <si>
    <t>汴马线</t>
  </si>
  <si>
    <t>汴水112线</t>
  </si>
  <si>
    <t>安然变</t>
  </si>
  <si>
    <t>19</t>
  </si>
  <si>
    <r>
      <rPr>
        <sz val="12"/>
        <color theme="1"/>
        <rFont val="宋体"/>
        <charset val="134"/>
        <scheme val="minor"/>
      </rPr>
      <t>安翔</t>
    </r>
    <r>
      <rPr>
        <sz val="12"/>
        <color theme="1"/>
        <rFont val="宋体"/>
        <charset val="0"/>
        <scheme val="minor"/>
      </rPr>
      <t>133</t>
    </r>
    <r>
      <rPr>
        <sz val="12"/>
        <color theme="1"/>
        <rFont val="宋体"/>
        <charset val="134"/>
        <scheme val="minor"/>
      </rPr>
      <t>开关（公线）</t>
    </r>
  </si>
  <si>
    <t>杨台变</t>
  </si>
  <si>
    <t>专线：杨辰二线184开关、杨铁线185开关、杨医二线186开关、杨晶线146开关、杨晶线145开关、杨晶线144开关、
杨鑫四线143开关、杨电线138开关、杨晶线137开关、杨高线136开关、杨晶线135开关、
杨鑫二线134开关、杨晶126开关、杨晶125开关、杨晶124开关、杨鑫三线123开关、
杨电线118开关、杨晶117开关、杨晶116开关、杨晶115开关、杨鑫一线114开关</t>
  </si>
  <si>
    <t>杨台变10kV1、2、3、4、8母线出线均为专线，导致10kV1、2、3、4、8母线所有出线失电</t>
  </si>
  <si>
    <t>杨鑫一线</t>
  </si>
  <si>
    <t>杨鑫三线</t>
  </si>
  <si>
    <t>杨鑫二134线</t>
  </si>
  <si>
    <t>杨高136线</t>
  </si>
  <si>
    <t>杨鑫四线</t>
  </si>
  <si>
    <t>杨医二线</t>
  </si>
  <si>
    <t>杨铁线</t>
  </si>
  <si>
    <t>商圈变</t>
  </si>
  <si>
    <r>
      <rPr>
        <sz val="12"/>
        <color theme="1"/>
        <rFont val="宋体"/>
        <charset val="134"/>
        <scheme val="minor"/>
      </rPr>
      <t>商宁一线</t>
    </r>
    <r>
      <rPr>
        <sz val="12"/>
        <color theme="1"/>
        <rFont val="宋体"/>
        <charset val="0"/>
        <scheme val="minor"/>
      </rPr>
      <t>160</t>
    </r>
    <r>
      <rPr>
        <sz val="12"/>
        <color theme="1"/>
        <rFont val="宋体"/>
        <charset val="134"/>
        <scheme val="minor"/>
      </rPr>
      <t>开关（专线）</t>
    </r>
    <r>
      <rPr>
        <sz val="12"/>
        <color theme="1"/>
        <rFont val="宋体"/>
        <charset val="0"/>
        <scheme val="minor"/>
      </rPr>
      <t xml:space="preserve">
</t>
    </r>
    <r>
      <rPr>
        <sz val="12"/>
        <color theme="1"/>
        <rFont val="宋体"/>
        <charset val="134"/>
        <scheme val="minor"/>
      </rPr>
      <t>商宁二线</t>
    </r>
    <r>
      <rPr>
        <sz val="12"/>
        <color theme="1"/>
        <rFont val="宋体"/>
        <charset val="0"/>
        <scheme val="minor"/>
      </rPr>
      <t>152</t>
    </r>
    <r>
      <rPr>
        <sz val="12"/>
        <color theme="1"/>
        <rFont val="宋体"/>
        <charset val="134"/>
        <scheme val="minor"/>
      </rPr>
      <t>开关（专线）</t>
    </r>
    <r>
      <rPr>
        <sz val="12"/>
        <color theme="1"/>
        <rFont val="宋体"/>
        <charset val="0"/>
        <scheme val="minor"/>
      </rPr>
      <t xml:space="preserve">
</t>
    </r>
    <r>
      <rPr>
        <sz val="12"/>
        <color theme="1"/>
        <rFont val="宋体"/>
        <charset val="134"/>
        <scheme val="minor"/>
      </rPr>
      <t>商宁三线</t>
    </r>
    <r>
      <rPr>
        <sz val="12"/>
        <color theme="1"/>
        <rFont val="宋体"/>
        <charset val="0"/>
        <scheme val="minor"/>
      </rPr>
      <t>153</t>
    </r>
    <r>
      <rPr>
        <sz val="12"/>
        <color theme="1"/>
        <rFont val="宋体"/>
        <charset val="134"/>
        <scheme val="minor"/>
      </rPr>
      <t>开关（专线）</t>
    </r>
  </si>
  <si>
    <t>庞洼变</t>
  </si>
  <si>
    <t>九里山变</t>
  </si>
  <si>
    <r>
      <rPr>
        <sz val="12"/>
        <color theme="1"/>
        <rFont val="宋体"/>
        <charset val="134"/>
        <scheme val="minor"/>
      </rPr>
      <t>九未线</t>
    </r>
    <r>
      <rPr>
        <sz val="12"/>
        <color theme="1"/>
        <rFont val="宋体"/>
        <charset val="0"/>
        <scheme val="minor"/>
      </rPr>
      <t>103</t>
    </r>
    <r>
      <rPr>
        <sz val="12"/>
        <color theme="1"/>
        <rFont val="宋体"/>
        <charset val="134"/>
        <scheme val="minor"/>
      </rPr>
      <t>开关（专线）</t>
    </r>
    <r>
      <rPr>
        <sz val="12"/>
        <color theme="1"/>
        <rFont val="宋体"/>
        <charset val="0"/>
        <scheme val="minor"/>
      </rPr>
      <t xml:space="preserve">
</t>
    </r>
    <r>
      <rPr>
        <sz val="12"/>
        <color theme="1"/>
        <rFont val="宋体"/>
        <charset val="134"/>
        <scheme val="minor"/>
      </rPr>
      <t>九刘线</t>
    </r>
    <r>
      <rPr>
        <sz val="12"/>
        <color theme="1"/>
        <rFont val="宋体"/>
        <charset val="0"/>
        <scheme val="minor"/>
      </rPr>
      <t>106</t>
    </r>
    <r>
      <rPr>
        <sz val="12"/>
        <color theme="1"/>
        <rFont val="宋体"/>
        <charset val="134"/>
        <scheme val="minor"/>
      </rPr>
      <t>开关（专线）</t>
    </r>
    <r>
      <rPr>
        <sz val="12"/>
        <color theme="1"/>
        <rFont val="宋体"/>
        <charset val="0"/>
        <scheme val="minor"/>
      </rPr>
      <t xml:space="preserve">
</t>
    </r>
    <r>
      <rPr>
        <sz val="12"/>
        <color theme="1"/>
        <rFont val="宋体"/>
        <charset val="134"/>
        <scheme val="minor"/>
      </rPr>
      <t>九港线</t>
    </r>
    <r>
      <rPr>
        <sz val="12"/>
        <color theme="1"/>
        <rFont val="宋体"/>
        <charset val="0"/>
        <scheme val="minor"/>
      </rPr>
      <t>108</t>
    </r>
    <r>
      <rPr>
        <sz val="12"/>
        <color theme="1"/>
        <rFont val="宋体"/>
        <charset val="134"/>
        <scheme val="minor"/>
      </rPr>
      <t>开关（专线）</t>
    </r>
  </si>
  <si>
    <t>丁楼变</t>
  </si>
  <si>
    <r>
      <rPr>
        <sz val="12"/>
        <color theme="1"/>
        <rFont val="宋体"/>
        <charset val="134"/>
        <scheme val="minor"/>
      </rPr>
      <t>丁兰</t>
    </r>
    <r>
      <rPr>
        <sz val="12"/>
        <color theme="1"/>
        <rFont val="宋体"/>
        <charset val="0"/>
        <scheme val="minor"/>
      </rPr>
      <t>146</t>
    </r>
    <r>
      <rPr>
        <sz val="12"/>
        <color theme="1"/>
        <rFont val="宋体"/>
        <charset val="134"/>
        <scheme val="minor"/>
      </rPr>
      <t>开关（专线）</t>
    </r>
    <r>
      <rPr>
        <sz val="12"/>
        <color theme="1"/>
        <rFont val="宋体"/>
        <charset val="0"/>
        <scheme val="minor"/>
      </rPr>
      <t xml:space="preserve">
</t>
    </r>
    <r>
      <rPr>
        <sz val="12"/>
        <color theme="1"/>
        <rFont val="宋体"/>
        <charset val="134"/>
        <scheme val="minor"/>
      </rPr>
      <t>丁程线</t>
    </r>
    <r>
      <rPr>
        <sz val="12"/>
        <color theme="1"/>
        <rFont val="宋体"/>
        <charset val="0"/>
        <scheme val="minor"/>
      </rPr>
      <t>122</t>
    </r>
    <r>
      <rPr>
        <sz val="12"/>
        <color theme="1"/>
        <rFont val="宋体"/>
        <charset val="134"/>
        <scheme val="minor"/>
      </rPr>
      <t>开关（专线）</t>
    </r>
    <r>
      <rPr>
        <sz val="12"/>
        <color theme="1"/>
        <rFont val="宋体"/>
        <charset val="0"/>
        <scheme val="minor"/>
      </rPr>
      <t xml:space="preserve">
</t>
    </r>
    <r>
      <rPr>
        <sz val="12"/>
        <color theme="1"/>
        <rFont val="宋体"/>
        <charset val="134"/>
        <scheme val="minor"/>
      </rPr>
      <t>丁沙线</t>
    </r>
    <r>
      <rPr>
        <sz val="12"/>
        <color theme="1"/>
        <rFont val="宋体"/>
        <charset val="0"/>
        <scheme val="minor"/>
      </rPr>
      <t>113</t>
    </r>
    <r>
      <rPr>
        <sz val="12"/>
        <color theme="1"/>
        <rFont val="宋体"/>
        <charset val="134"/>
        <scheme val="minor"/>
      </rPr>
      <t>开关（专线）</t>
    </r>
  </si>
  <si>
    <t>茶庵变</t>
  </si>
  <si>
    <r>
      <rPr>
        <sz val="12"/>
        <color theme="1"/>
        <rFont val="宋体"/>
        <charset val="134"/>
        <scheme val="minor"/>
      </rPr>
      <t>茶星线</t>
    </r>
    <r>
      <rPr>
        <sz val="12"/>
        <color theme="1"/>
        <rFont val="宋体"/>
        <charset val="0"/>
        <scheme val="minor"/>
      </rPr>
      <t>167</t>
    </r>
    <r>
      <rPr>
        <sz val="12"/>
        <color theme="1"/>
        <rFont val="宋体"/>
        <charset val="134"/>
        <scheme val="minor"/>
      </rPr>
      <t>开关（专线）</t>
    </r>
    <r>
      <rPr>
        <sz val="12"/>
        <color theme="1"/>
        <rFont val="宋体"/>
        <charset val="0"/>
        <scheme val="minor"/>
      </rPr>
      <t xml:space="preserve">
</t>
    </r>
    <r>
      <rPr>
        <sz val="12"/>
        <color theme="1"/>
        <rFont val="宋体"/>
        <charset val="134"/>
        <scheme val="minor"/>
      </rPr>
      <t>茶汉线</t>
    </r>
    <r>
      <rPr>
        <sz val="12"/>
        <color theme="1"/>
        <rFont val="宋体"/>
        <charset val="0"/>
        <scheme val="minor"/>
      </rPr>
      <t>156</t>
    </r>
    <r>
      <rPr>
        <sz val="12"/>
        <color theme="1"/>
        <rFont val="宋体"/>
        <charset val="134"/>
        <scheme val="minor"/>
      </rPr>
      <t>开关（专线）</t>
    </r>
  </si>
  <si>
    <t>茶景线负荷2.3MW，对侧唯一联络联络惠顺二线8.2MW，需损失0.2MW负荷</t>
  </si>
  <si>
    <t>茶景线</t>
  </si>
  <si>
    <t>翟山变</t>
  </si>
  <si>
    <r>
      <rPr>
        <sz val="12"/>
        <color theme="1"/>
        <rFont val="宋体"/>
        <charset val="134"/>
        <scheme val="minor"/>
      </rPr>
      <t xml:space="preserve">专线：翟矿线116开关、翟军线111开关、翟汇线132开关、翟本线109开关
</t>
    </r>
    <r>
      <rPr>
        <b/>
        <sz val="12"/>
        <color theme="1"/>
        <rFont val="宋体"/>
        <charset val="134"/>
        <scheme val="minor"/>
      </rPr>
      <t>同站联络线路：</t>
    </r>
    <r>
      <rPr>
        <sz val="12"/>
        <color theme="1"/>
        <rFont val="宋体"/>
        <charset val="134"/>
        <scheme val="minor"/>
      </rPr>
      <t>翟中线108开关、翟想线110开关、翟太线121开关、翟水四线翟佳线128开关、翟水三线127开关、翟七二线124开关、翟孟线131开关、翟马线翟水二线122开关、翟科线126开关、翟福线134开关、翟风线133开关、翟创一线翟水一线123开关、翟创二线130开关、翟胞一线129开关、翟胞二线136开关</t>
    </r>
  </si>
  <si>
    <t>翟山变10kV2母线由于对外联络少，导致翟马线翟水二线、翟科线、翟创二线、翟胞二线、翟矿线、翟汇线失电；
翟山变10kV1母线由于对外联络少，导致翟创一线翟水一线、翟风线、翟军线、翟本线失电；</t>
  </si>
  <si>
    <t>翟马线翟水二线</t>
  </si>
  <si>
    <t>翟科线</t>
  </si>
  <si>
    <t>翟创二线</t>
  </si>
  <si>
    <t>翟胞二线</t>
  </si>
  <si>
    <t>翟矿线</t>
  </si>
  <si>
    <t>翟汇线</t>
  </si>
  <si>
    <t>翟创一线翟水一线</t>
  </si>
  <si>
    <t>翟风线</t>
  </si>
  <si>
    <t>翟军线</t>
  </si>
  <si>
    <t>翟本线</t>
  </si>
  <si>
    <r>
      <rPr>
        <b/>
        <sz val="12"/>
        <color theme="1"/>
        <rFont val="宋体"/>
        <charset val="134"/>
        <scheme val="minor"/>
      </rPr>
      <t>同站联络线路</t>
    </r>
    <r>
      <rPr>
        <sz val="12"/>
        <color theme="1"/>
        <rFont val="宋体"/>
        <charset val="134"/>
        <scheme val="minor"/>
      </rPr>
      <t>：新御线126开关、新鲁二线112开关、新金线153开关、新桂线164开关、新城线162开关</t>
    </r>
  </si>
  <si>
    <t>新华线负荷5.8MW，对侧唯一联络联络东中线6.7MW，需损失2.2MW负荷</t>
  </si>
  <si>
    <t>新华线</t>
  </si>
  <si>
    <t>小坝山变</t>
  </si>
  <si>
    <t>31</t>
  </si>
  <si>
    <r>
      <rPr>
        <b/>
        <sz val="12"/>
        <color theme="1"/>
        <rFont val="宋体"/>
        <charset val="134"/>
        <scheme val="minor"/>
      </rPr>
      <t>专线：</t>
    </r>
    <r>
      <rPr>
        <sz val="12"/>
        <color theme="1"/>
        <rFont val="宋体"/>
        <charset val="134"/>
        <scheme val="minor"/>
      </rPr>
      <t xml:space="preserve">坝升线132开关、坝瑞线104开关、坝连线111开关
</t>
    </r>
    <r>
      <rPr>
        <b/>
        <sz val="12"/>
        <color theme="1"/>
        <rFont val="宋体"/>
        <charset val="134"/>
        <scheme val="minor"/>
      </rPr>
      <t>同站联络线路</t>
    </r>
    <r>
      <rPr>
        <sz val="12"/>
        <color theme="1"/>
        <rFont val="宋体"/>
        <charset val="134"/>
        <scheme val="minor"/>
      </rPr>
      <t>：坝怡一线121开关、坝怡二线114开关、坝民一线115开关、坝美线112开关、坝绿一线151开关、坝绿五线113开关、坝绿三线152开关、坝绿七线坝都一线125开关、坝绿二线163开关、坝景线161开关</t>
    </r>
  </si>
  <si>
    <t>祥和变</t>
  </si>
  <si>
    <r>
      <rPr>
        <b/>
        <sz val="12"/>
        <color theme="1"/>
        <rFont val="宋体"/>
        <charset val="134"/>
        <scheme val="minor"/>
      </rPr>
      <t>专线：</t>
    </r>
    <r>
      <rPr>
        <sz val="12"/>
        <color theme="1"/>
        <rFont val="宋体"/>
        <charset val="134"/>
        <scheme val="minor"/>
      </rPr>
      <t xml:space="preserve">祥医线121开关
</t>
    </r>
    <r>
      <rPr>
        <b/>
        <sz val="12"/>
        <color theme="1"/>
        <rFont val="宋体"/>
        <charset val="134"/>
        <scheme val="minor"/>
      </rPr>
      <t>同站联络线路：</t>
    </r>
    <r>
      <rPr>
        <sz val="12"/>
        <color theme="1"/>
        <rFont val="宋体"/>
        <charset val="134"/>
        <scheme val="minor"/>
      </rPr>
      <t>祥镇线161开关、祥腾线152开关、祥南线123开关</t>
    </r>
  </si>
  <si>
    <t>仙桃变</t>
  </si>
  <si>
    <r>
      <rPr>
        <sz val="12"/>
        <color theme="1"/>
        <rFont val="宋体"/>
        <charset val="134"/>
        <scheme val="minor"/>
      </rPr>
      <t xml:space="preserve">专线：仙紫线112开关、仙庄线125开关
</t>
    </r>
    <r>
      <rPr>
        <b/>
        <sz val="12"/>
        <color theme="1"/>
        <rFont val="宋体"/>
        <charset val="134"/>
        <scheme val="minor"/>
      </rPr>
      <t>同站联络线路</t>
    </r>
    <r>
      <rPr>
        <sz val="12"/>
        <color theme="1"/>
        <rFont val="宋体"/>
        <charset val="134"/>
        <scheme val="minor"/>
      </rPr>
      <t>：仙赵线123开关、仙永线116开关、仙新线124开关、仙岐线111开关、仙马线118开关</t>
    </r>
  </si>
  <si>
    <t>1.仙桃变10kV1母线由于反带线路容量不足，导致仙岐线失电，主要原因为仙岐线没有对外联络。
2.仙桃变10kV2母线无对外联络线路，导致10kV2母线失电。</t>
  </si>
  <si>
    <t>仙岐线</t>
  </si>
  <si>
    <t>仙赵线</t>
  </si>
  <si>
    <t>仙新线</t>
  </si>
  <si>
    <t>西郊变</t>
  </si>
  <si>
    <t>51</t>
  </si>
  <si>
    <t>35</t>
  </si>
  <si>
    <r>
      <rPr>
        <b/>
        <sz val="12"/>
        <color theme="1"/>
        <rFont val="宋体"/>
        <charset val="134"/>
        <scheme val="minor"/>
      </rPr>
      <t>专线：</t>
    </r>
    <r>
      <rPr>
        <sz val="12"/>
        <color theme="1"/>
        <rFont val="宋体"/>
        <charset val="134"/>
        <scheme val="minor"/>
      </rPr>
      <t xml:space="preserve">西学11H开关
</t>
    </r>
    <r>
      <rPr>
        <b/>
        <sz val="12"/>
        <color theme="1"/>
        <rFont val="宋体"/>
        <charset val="134"/>
        <scheme val="minor"/>
      </rPr>
      <t>同站联络线路</t>
    </r>
    <r>
      <rPr>
        <sz val="12"/>
        <color theme="1"/>
        <rFont val="宋体"/>
        <charset val="134"/>
        <scheme val="minor"/>
      </rPr>
      <t xml:space="preserve">：西肖12A开关、西铜136开关、西良133开关、西康一11G开关、西康二130开关、西锦一11F开关、西锦二131开关、西福一123开关、西段一124开关、西丁117开关、西春一113开关、西辰一12F开关、西辰二14C开关
</t>
    </r>
    <r>
      <rPr>
        <b/>
        <sz val="12"/>
        <color theme="1"/>
        <rFont val="宋体"/>
        <charset val="134"/>
        <scheme val="minor"/>
      </rPr>
      <t>单辐射线路</t>
    </r>
    <r>
      <rPr>
        <sz val="12"/>
        <color theme="1"/>
        <rFont val="宋体"/>
        <charset val="134"/>
        <scheme val="minor"/>
      </rPr>
      <t>：西杏一125开关、西热119开关</t>
    </r>
  </si>
  <si>
    <t>西郊变10kV3母线由于反带线路容量不足，导致西锦二线失电</t>
  </si>
  <si>
    <t>西锦二线</t>
  </si>
  <si>
    <t>吴庄变</t>
  </si>
  <si>
    <r>
      <rPr>
        <sz val="12"/>
        <color theme="1"/>
        <rFont val="宋体"/>
        <charset val="134"/>
        <scheme val="minor"/>
      </rPr>
      <t xml:space="preserve">专线：吴元一线11F开关、吴元二线149开关、吴音一线114开关、吴音二线141开关、吴体线14J开关、吴盛线14K开关
</t>
    </r>
    <r>
      <rPr>
        <b/>
        <sz val="12"/>
        <color theme="1"/>
        <rFont val="宋体"/>
        <charset val="134"/>
        <scheme val="minor"/>
      </rPr>
      <t>同站联络线路：</t>
    </r>
    <r>
      <rPr>
        <sz val="12"/>
        <color theme="1"/>
        <rFont val="宋体"/>
        <charset val="134"/>
        <scheme val="minor"/>
      </rPr>
      <t>吴苏一线124开关、吴苏二线148开关、吴润线131开关、吴梅线125开关、吴卡一线118开关、吴卡三线144开关、吴卡二线14A开关、吴嘉线133开关、吴花一线11G开关、吴花三线123开关、吴花二线14E开关、吴湖线116开关、吴广线122开关、吴港线142开关、吴段线112开关、吴翠一线11C开关、吴翠二线14H开关、吴场线132开关</t>
    </r>
  </si>
  <si>
    <t>1.吴庄变10kV1母线由于反带线路容量不足，导致吴元一线、吴翠一线失电
2.吴庄变10kV4母线由于反带线路容量不足，导致吴盛线、吴翠二线失电
3.吴庄变10kV2/3母线无对外联络线路，导致10kV2/3母线全部失电</t>
  </si>
  <si>
    <t>吴元一线</t>
  </si>
  <si>
    <t>吴翠一线</t>
  </si>
  <si>
    <t>吴盛线</t>
  </si>
  <si>
    <t>吴翠二线</t>
  </si>
  <si>
    <t>吴广线</t>
  </si>
  <si>
    <t>吴花三线</t>
  </si>
  <si>
    <t>吴苏一线</t>
  </si>
  <si>
    <t>吴梅线</t>
  </si>
  <si>
    <t>吴润线</t>
  </si>
  <si>
    <t>吴场线</t>
  </si>
  <si>
    <t>吴嘉线</t>
  </si>
  <si>
    <t>屯头变</t>
  </si>
  <si>
    <r>
      <rPr>
        <b/>
        <sz val="12"/>
        <color theme="1"/>
        <rFont val="宋体"/>
        <charset val="134"/>
        <scheme val="minor"/>
      </rPr>
      <t>专线：</t>
    </r>
    <r>
      <rPr>
        <sz val="12"/>
        <color theme="1"/>
        <rFont val="宋体"/>
        <charset val="134"/>
        <scheme val="minor"/>
      </rPr>
      <t xml:space="preserve">屯伏一线121开关、屯伏二线110开关
</t>
    </r>
    <r>
      <rPr>
        <b/>
        <sz val="12"/>
        <color theme="1"/>
        <rFont val="宋体"/>
        <charset val="134"/>
        <scheme val="minor"/>
      </rPr>
      <t>同站联络线路</t>
    </r>
    <r>
      <rPr>
        <sz val="12"/>
        <color theme="1"/>
        <rFont val="宋体"/>
        <charset val="134"/>
        <scheme val="minor"/>
      </rPr>
      <t>：屯莫线119开关、屯鹿二线107开关、屯朗线108开关、屯段线114开关、屯恩线112开关、屯安线111开关</t>
    </r>
  </si>
  <si>
    <t>统一变</t>
  </si>
  <si>
    <r>
      <rPr>
        <b/>
        <sz val="12"/>
        <color theme="1"/>
        <rFont val="宋体"/>
        <charset val="134"/>
        <scheme val="minor"/>
      </rPr>
      <t>专线：</t>
    </r>
    <r>
      <rPr>
        <sz val="12"/>
        <color theme="1"/>
        <rFont val="宋体"/>
        <charset val="134"/>
        <scheme val="minor"/>
      </rPr>
      <t xml:space="preserve">统药线129开关、统沁线149开关、统馆线148开关、统城一线141开关、统城三线145开关
</t>
    </r>
    <r>
      <rPr>
        <b/>
        <sz val="12"/>
        <color theme="1"/>
        <rFont val="宋体"/>
        <charset val="134"/>
        <scheme val="minor"/>
      </rPr>
      <t>同站联络线路：</t>
    </r>
    <r>
      <rPr>
        <sz val="12"/>
        <color theme="1"/>
        <rFont val="宋体"/>
        <charset val="134"/>
        <scheme val="minor"/>
      </rPr>
      <t>统赵线118开关、统潘线125开关、统莫线115开关、统柳线111开关、统两线120开关、统惠五线119开关、统惠四线136开关、统惠二线146开关、统观线150开关、统沟线103开关、统电线126开关、统曹线107开关</t>
    </r>
  </si>
  <si>
    <t>塔山变</t>
  </si>
  <si>
    <r>
      <rPr>
        <b/>
        <sz val="12"/>
        <color theme="1"/>
        <rFont val="宋体"/>
        <charset val="134"/>
        <scheme val="minor"/>
      </rPr>
      <t>专线：</t>
    </r>
    <r>
      <rPr>
        <sz val="12"/>
        <color theme="1"/>
        <rFont val="宋体"/>
        <charset val="134"/>
        <scheme val="minor"/>
      </rPr>
      <t xml:space="preserve">塔太线111开关
</t>
    </r>
    <r>
      <rPr>
        <b/>
        <sz val="12"/>
        <color theme="1"/>
        <rFont val="宋体"/>
        <charset val="134"/>
        <scheme val="minor"/>
      </rPr>
      <t>同站联络线路：</t>
    </r>
    <r>
      <rPr>
        <sz val="12"/>
        <color theme="1"/>
        <rFont val="宋体"/>
        <charset val="134"/>
        <scheme val="minor"/>
      </rPr>
      <t>塔一线105开关、塔彭线109开关、塔华线108开关</t>
    </r>
  </si>
  <si>
    <t>塔二线负荷电流374A，联络线路紫石线、王圩线负荷电流较高且额定电流为441A，导致线路无法转供</t>
  </si>
  <si>
    <t>塔二线</t>
  </si>
  <si>
    <t>拾屯变</t>
  </si>
  <si>
    <r>
      <rPr>
        <b/>
        <sz val="12"/>
        <color theme="1"/>
        <rFont val="宋体"/>
        <charset val="134"/>
        <scheme val="minor"/>
      </rPr>
      <t>专线：</t>
    </r>
    <r>
      <rPr>
        <sz val="12"/>
        <color theme="1"/>
        <rFont val="宋体"/>
        <charset val="134"/>
        <scheme val="minor"/>
      </rPr>
      <t xml:space="preserve">拾民线122开关
</t>
    </r>
    <r>
      <rPr>
        <b/>
        <sz val="12"/>
        <color theme="1"/>
        <rFont val="宋体"/>
        <charset val="134"/>
        <scheme val="minor"/>
      </rPr>
      <t>同站联络线路：</t>
    </r>
    <r>
      <rPr>
        <sz val="12"/>
        <color theme="1"/>
        <rFont val="宋体"/>
        <charset val="134"/>
        <scheme val="minor"/>
      </rPr>
      <t>拾张线154开关、拾永线128开关、拾襄线160开关、拾庞线118开关、拾南一线114开关、拾路线110开关、拾矿二线116开关、拾金线151开关、拾安线164开关</t>
    </r>
  </si>
  <si>
    <t>拾屯变10kV2母线由于反带线路容量不足，导致拾民线失电</t>
  </si>
  <si>
    <t>石桥变</t>
  </si>
  <si>
    <r>
      <rPr>
        <sz val="12"/>
        <color theme="1"/>
        <rFont val="宋体"/>
        <charset val="134"/>
        <scheme val="minor"/>
      </rPr>
      <t xml:space="preserve">专线：石仁线130开关（专线）、石资线131开关（专线）、石医线132开关（专线）、石师线133开关（专线）、石卡三线134开关（专线）、石酒线11K开关（专线）、石万线118开关（专线）、石卡线116开关（专线）、石恩线121开关（专线）、石卡二线124开关（专线）、石卡四线125开关（专线）、石药线12H开关（专线）
</t>
    </r>
    <r>
      <rPr>
        <b/>
        <sz val="12"/>
        <color theme="1"/>
        <rFont val="宋体"/>
        <charset val="134"/>
        <scheme val="minor"/>
      </rPr>
      <t>同站联络线路</t>
    </r>
    <r>
      <rPr>
        <sz val="12"/>
        <color theme="1"/>
        <rFont val="宋体"/>
        <charset val="134"/>
        <scheme val="minor"/>
      </rPr>
      <t>：石螺线135开关（公线）、石蓝线13F开关（公线）、石乐线11J开关（公线）、石开线11G开关（公线）、石蟠五线111开关（公线）、石林线110开关（公线）、石蟠四线126开关（公线）、石赵线128开关（公线）</t>
    </r>
  </si>
  <si>
    <t>石桥变10kV2母线由于反带线路容量不足，导致石药线、石卡四线失电</t>
  </si>
  <si>
    <t>石药12H线</t>
  </si>
  <si>
    <t>石卡四125线</t>
  </si>
  <si>
    <t>庆云桥变</t>
  </si>
  <si>
    <r>
      <rPr>
        <sz val="12"/>
        <color theme="1"/>
        <rFont val="宋体"/>
        <charset val="134"/>
        <scheme val="minor"/>
      </rPr>
      <t>专线：桥院一线111开关、桥院二线126开关</t>
    </r>
    <r>
      <rPr>
        <sz val="12"/>
        <color theme="1"/>
        <rFont val="宋体"/>
        <charset val="0"/>
        <scheme val="minor"/>
      </rPr>
      <t xml:space="preserve">
</t>
    </r>
    <r>
      <rPr>
        <b/>
        <sz val="12"/>
        <color theme="1"/>
        <rFont val="宋体"/>
        <charset val="134"/>
        <scheme val="minor"/>
      </rPr>
      <t>单辐射线路：</t>
    </r>
    <r>
      <rPr>
        <sz val="12"/>
        <color theme="1"/>
        <rFont val="宋体"/>
        <charset val="134"/>
        <scheme val="minor"/>
      </rPr>
      <t>桥监线</t>
    </r>
    <r>
      <rPr>
        <sz val="12"/>
        <color theme="1"/>
        <rFont val="宋体"/>
        <charset val="0"/>
        <scheme val="minor"/>
      </rPr>
      <t>115</t>
    </r>
    <r>
      <rPr>
        <sz val="12"/>
        <color theme="1"/>
        <rFont val="宋体"/>
        <charset val="134"/>
        <scheme val="minor"/>
      </rPr>
      <t xml:space="preserve">开关
</t>
    </r>
    <r>
      <rPr>
        <b/>
        <sz val="12"/>
        <color theme="1"/>
        <rFont val="宋体"/>
        <charset val="134"/>
        <scheme val="minor"/>
      </rPr>
      <t>同站联络线路：</t>
    </r>
    <r>
      <rPr>
        <sz val="12"/>
        <color theme="1"/>
        <rFont val="宋体"/>
        <charset val="134"/>
        <scheme val="minor"/>
      </rPr>
      <t xml:space="preserve">桥平线123开关、桥景线0号站用变122开关、桥监线115开关、桥淮线125开关、桥华线114开关、桥古线119开关、桥都线107开关、桥程线117开关
</t>
    </r>
    <r>
      <rPr>
        <sz val="12"/>
        <color theme="1"/>
        <rFont val="宋体"/>
        <charset val="0"/>
        <scheme val="minor"/>
      </rPr>
      <t xml:space="preserve">
</t>
    </r>
  </si>
  <si>
    <t>庆云桥变10kV1母线对外联络率30%，联络率低导致桥都线、桥监线、桥程线、桥古线、
桥淮线失电</t>
  </si>
  <si>
    <t>桥都线</t>
  </si>
  <si>
    <t>桥监线</t>
  </si>
  <si>
    <t>桥程线</t>
  </si>
  <si>
    <t>桥古线</t>
  </si>
  <si>
    <t>桥淮线</t>
  </si>
  <si>
    <t>绿地变</t>
  </si>
  <si>
    <t>27</t>
  </si>
  <si>
    <r>
      <rPr>
        <sz val="12"/>
        <color theme="1"/>
        <rFont val="宋体"/>
        <charset val="134"/>
        <scheme val="minor"/>
      </rPr>
      <t xml:space="preserve">专线：绿悦线117开关、绿院线139开关、绿医一线111开关、绿医二线126开关
</t>
    </r>
    <r>
      <rPr>
        <b/>
        <sz val="12"/>
        <color theme="1"/>
        <rFont val="宋体"/>
        <charset val="134"/>
        <scheme val="minor"/>
      </rPr>
      <t>同站联络线路：</t>
    </r>
    <r>
      <rPr>
        <sz val="12"/>
        <color theme="1"/>
        <rFont val="宋体"/>
        <charset val="134"/>
        <scheme val="minor"/>
      </rPr>
      <t>绿苑一线121开关、绿苑二线128开关、绿雅线106开关、绿橡线148开关、绿香一线151开关、绿香二线138开关、绿尚一线127开关、绿尚二线114开关、绿润一线145开关、绿润二线156开关、绿金线122开关</t>
    </r>
  </si>
  <si>
    <t xml:space="preserve">绿地变10kV3母线由于反带线路容量不足，导致绿尚一线、绿香一线失电
</t>
  </si>
  <si>
    <t>绿尚一线</t>
  </si>
  <si>
    <t>绿香一线</t>
  </si>
  <si>
    <t>刘湾变</t>
  </si>
  <si>
    <r>
      <rPr>
        <sz val="12"/>
        <color theme="1"/>
        <rFont val="宋体"/>
        <charset val="134"/>
        <scheme val="minor"/>
      </rPr>
      <t xml:space="preserve">专线：刘永线116开关、刘万线12E开关、刘水西线125开关、刘水东11H开关
</t>
    </r>
    <r>
      <rPr>
        <b/>
        <sz val="12"/>
        <color theme="1"/>
        <rFont val="宋体"/>
        <charset val="134"/>
        <scheme val="minor"/>
      </rPr>
      <t>同站联络线路：</t>
    </r>
    <r>
      <rPr>
        <sz val="12"/>
        <color theme="1"/>
        <rFont val="宋体"/>
        <charset val="134"/>
        <scheme val="minor"/>
      </rPr>
      <t>刘庄线110开关、刘杨线123开关、刘蟠线11G开关、刘李线11A开关、刘荆一线118开关、刘荆二线126开关、刘加线12A开关、刘环线12G开关、刘德线115开关、刘导线111开关、九刘线106开关</t>
    </r>
  </si>
  <si>
    <t>刘湾变10kV2母线由于反带线路容量不足，导致刘万线失电；
刘湾变10kV1母线由于反带线路容量不足，导致刘荆一线、刘水东线失电；</t>
  </si>
  <si>
    <t>刘万12E线</t>
  </si>
  <si>
    <t>刘荆一线</t>
  </si>
  <si>
    <t>刘水东11H线</t>
  </si>
  <si>
    <t>奎山变</t>
  </si>
  <si>
    <r>
      <rPr>
        <sz val="12"/>
        <color theme="1"/>
        <rFont val="宋体"/>
        <charset val="134"/>
        <scheme val="minor"/>
      </rPr>
      <t xml:space="preserve">专线：奎医一线11C开关、奎医二线142开关、奎沃一线14E开关、奎沃二线112开关、奎商线143开关、奎热一线114开关、奎热二线144开关、奎蓝线141开关、奎健线140开关、奎帝线123开关
</t>
    </r>
    <r>
      <rPr>
        <b/>
        <sz val="12"/>
        <color theme="1"/>
        <rFont val="宋体"/>
        <charset val="134"/>
        <scheme val="minor"/>
      </rPr>
      <t>同站联络线路：</t>
    </r>
    <r>
      <rPr>
        <sz val="12"/>
        <color theme="1"/>
        <rFont val="宋体"/>
        <charset val="134"/>
        <scheme val="minor"/>
      </rPr>
      <t>奎太二线133开关、奎水二线136开关、奎康线135开关、奎大线130开关、奎橙线125开关</t>
    </r>
  </si>
  <si>
    <t>奎山变10kV3母线由于反带线路容量不足，导致奎康线、奎太二线、奎大线失电</t>
  </si>
  <si>
    <t>奎康线</t>
  </si>
  <si>
    <t>奎太二线</t>
  </si>
  <si>
    <t>奎大线</t>
  </si>
  <si>
    <t>开元变</t>
  </si>
  <si>
    <r>
      <rPr>
        <b/>
        <sz val="12"/>
        <color theme="1"/>
        <rFont val="宋体"/>
        <charset val="134"/>
        <scheme val="minor"/>
      </rPr>
      <t>专线：</t>
    </r>
    <r>
      <rPr>
        <sz val="12"/>
        <color theme="1"/>
        <rFont val="宋体"/>
        <charset val="134"/>
        <scheme val="minor"/>
      </rPr>
      <t xml:space="preserve">开庭线118开关、开水线123开关、开谷三线112开关
</t>
    </r>
    <r>
      <rPr>
        <b/>
        <sz val="12"/>
        <color theme="1"/>
        <rFont val="宋体"/>
        <charset val="134"/>
        <scheme val="minor"/>
      </rPr>
      <t>同站联络线路</t>
    </r>
    <r>
      <rPr>
        <sz val="12"/>
        <color theme="1"/>
        <rFont val="宋体"/>
        <charset val="134"/>
        <scheme val="minor"/>
      </rPr>
      <t>：开悦一线117开关、开元一线113开关、开元二线108开关、开雅一线131开关、开雅二线110开关、开西线114开关、开乐线103开关</t>
    </r>
  </si>
  <si>
    <t>江庄变</t>
  </si>
  <si>
    <r>
      <rPr>
        <b/>
        <sz val="12"/>
        <color theme="1"/>
        <rFont val="宋体"/>
        <charset val="134"/>
        <scheme val="minor"/>
      </rPr>
      <t>专线</t>
    </r>
    <r>
      <rPr>
        <sz val="12"/>
        <color theme="1"/>
        <rFont val="宋体"/>
        <charset val="134"/>
        <scheme val="minor"/>
      </rPr>
      <t xml:space="preserve">：江钢线121开关（专线）
</t>
    </r>
    <r>
      <rPr>
        <b/>
        <sz val="12"/>
        <color theme="1"/>
        <rFont val="宋体"/>
        <charset val="134"/>
        <scheme val="minor"/>
      </rPr>
      <t>同站联络线路</t>
    </r>
    <r>
      <rPr>
        <sz val="12"/>
        <color theme="1"/>
        <rFont val="宋体"/>
        <charset val="134"/>
        <scheme val="minor"/>
      </rPr>
      <t>：江雷线</t>
    </r>
    <r>
      <rPr>
        <sz val="12"/>
        <color theme="1"/>
        <rFont val="宋体"/>
        <charset val="0"/>
        <scheme val="minor"/>
      </rPr>
      <t>124</t>
    </r>
    <r>
      <rPr>
        <sz val="12"/>
        <color theme="1"/>
        <rFont val="宋体"/>
        <charset val="134"/>
        <scheme val="minor"/>
      </rPr>
      <t>开关（公线）、江东线126开关（公线）</t>
    </r>
  </si>
  <si>
    <t>35kV江庄变10kV2母线负荷仅能切转至35kV龙山变2主变。负荷高峰时期35kV江庄变2母线负荷6.2MW，35kV龙山变2主变负荷2.6MW，转供后35kV龙山变2主变负荷达到8.8MW，而35kV龙山变2主变容量仅为8MVA,造成35kV龙山变2主变超载。</t>
  </si>
  <si>
    <t>江东线</t>
  </si>
  <si>
    <t>建平变</t>
  </si>
  <si>
    <r>
      <rPr>
        <sz val="12"/>
        <color theme="1"/>
        <rFont val="宋体"/>
        <charset val="134"/>
        <scheme val="minor"/>
      </rPr>
      <t xml:space="preserve">专线：建热一线610开关、建热二线620开关
</t>
    </r>
    <r>
      <rPr>
        <b/>
        <sz val="12"/>
        <color theme="1"/>
        <rFont val="宋体"/>
        <charset val="134"/>
        <scheme val="minor"/>
      </rPr>
      <t>同站联络线路：</t>
    </r>
    <r>
      <rPr>
        <sz val="12"/>
        <color theme="1"/>
        <rFont val="宋体"/>
        <charset val="134"/>
        <scheme val="minor"/>
      </rPr>
      <t>建南线613开关、建硫线616开关、建华线624开关、建程线622开关</t>
    </r>
  </si>
  <si>
    <t>建平变低压出线为6kV线路，无对外联络线路，无法转供负荷。</t>
  </si>
  <si>
    <t>建南线</t>
  </si>
  <si>
    <t>建硫线</t>
  </si>
  <si>
    <r>
      <rPr>
        <sz val="11"/>
        <color theme="1"/>
        <rFont val="宋体"/>
        <charset val="134"/>
      </rPr>
      <t>厂备</t>
    </r>
    <r>
      <rPr>
        <sz val="11"/>
        <color theme="1"/>
        <rFont val="Calibri"/>
        <charset val="134"/>
      </rPr>
      <t>612</t>
    </r>
    <r>
      <rPr>
        <sz val="11"/>
        <color theme="1"/>
        <rFont val="宋体"/>
        <charset val="134"/>
      </rPr>
      <t>线</t>
    </r>
  </si>
  <si>
    <r>
      <rPr>
        <sz val="11"/>
        <color theme="1"/>
        <rFont val="宋体"/>
        <charset val="134"/>
      </rPr>
      <t>建热一</t>
    </r>
    <r>
      <rPr>
        <sz val="11"/>
        <color theme="1"/>
        <rFont val="Calibri"/>
        <charset val="134"/>
      </rPr>
      <t>610</t>
    </r>
    <r>
      <rPr>
        <sz val="11"/>
        <color theme="1"/>
        <rFont val="宋体"/>
        <charset val="134"/>
      </rPr>
      <t>线</t>
    </r>
  </si>
  <si>
    <t>建华线</t>
  </si>
  <si>
    <t>建程线</t>
  </si>
  <si>
    <t>建热二线</t>
  </si>
  <si>
    <t>花园变</t>
  </si>
  <si>
    <r>
      <rPr>
        <sz val="12"/>
        <color theme="1"/>
        <rFont val="宋体"/>
        <charset val="134"/>
        <scheme val="minor"/>
      </rPr>
      <t xml:space="preserve">专线：花城线116开关、花宝一线137开关、花宝二线114开关
</t>
    </r>
    <r>
      <rPr>
        <b/>
        <sz val="12"/>
        <color theme="1"/>
        <rFont val="宋体"/>
        <charset val="134"/>
        <scheme val="minor"/>
      </rPr>
      <t>同站联络线路：</t>
    </r>
    <r>
      <rPr>
        <sz val="12"/>
        <color theme="1"/>
        <rFont val="宋体"/>
        <charset val="134"/>
        <scheme val="minor"/>
      </rPr>
      <t xml:space="preserve">花中线124开关、花烟线122开关、花马线126开关、花龙一线141开关、花龙二线112开关、花府线113开关
</t>
    </r>
    <r>
      <rPr>
        <b/>
        <sz val="12"/>
        <color theme="1"/>
        <rFont val="宋体"/>
        <charset val="134"/>
        <scheme val="minor"/>
      </rPr>
      <t>单辐射线路：</t>
    </r>
    <r>
      <rPr>
        <sz val="12"/>
        <color theme="1"/>
        <rFont val="宋体"/>
        <charset val="134"/>
        <scheme val="minor"/>
      </rPr>
      <t>花牌线121开关、花园一线107开关</t>
    </r>
  </si>
  <si>
    <t>1.花园变10kV1母线由于反带线路容量不足，导致花龙一线失电；
2.花园变10kV2母线由于反带线路容量不足，导致花龙二线、花宝二线失电</t>
  </si>
  <si>
    <t>花龙一线</t>
  </si>
  <si>
    <t>花龙二线</t>
  </si>
  <si>
    <t>花宝二线</t>
  </si>
  <si>
    <t>古彭变</t>
  </si>
  <si>
    <r>
      <rPr>
        <sz val="12"/>
        <color theme="1"/>
        <rFont val="宋体"/>
        <charset val="134"/>
        <scheme val="minor"/>
      </rPr>
      <t xml:space="preserve">专线：古院一线127开关、古院二线134开关、古铁线120开关、古成一线110开关、古成二线135开关
</t>
    </r>
    <r>
      <rPr>
        <b/>
        <sz val="12"/>
        <color theme="1"/>
        <rFont val="宋体"/>
        <charset val="134"/>
        <scheme val="minor"/>
      </rPr>
      <t>同站联络线路：</t>
    </r>
    <r>
      <rPr>
        <sz val="12"/>
        <color theme="1"/>
        <rFont val="宋体"/>
        <charset val="134"/>
        <scheme val="minor"/>
      </rPr>
      <t xml:space="preserve">古云二线14A开关、古永二线133开关、古艺一线112开关、古艺二线142开关、古王线137开关、古枢二线147开关、古景线141开关、古淮线132开关、古风二线130开关、古财线11A开关
</t>
    </r>
    <r>
      <rPr>
        <b/>
        <sz val="12"/>
        <color theme="1"/>
        <rFont val="宋体"/>
        <charset val="134"/>
        <scheme val="minor"/>
      </rPr>
      <t>单辐射线路：</t>
    </r>
    <r>
      <rPr>
        <sz val="12"/>
        <color theme="1"/>
        <rFont val="宋体"/>
        <charset val="134"/>
        <scheme val="minor"/>
      </rPr>
      <t>古风一线118开关、古彭线122开关、古龙线14C开关、古新线126开关</t>
    </r>
  </si>
  <si>
    <t>古彭变10kV3母线由于反带线路容量不足，导致古王线、古淮线、古成二线失电</t>
  </si>
  <si>
    <t>古王线</t>
  </si>
  <si>
    <t>古淮线</t>
  </si>
  <si>
    <t>古成二135线</t>
  </si>
  <si>
    <t>耿集变</t>
  </si>
  <si>
    <t>同站联络线路：耿永线112开关、耿西线115开关、耿南线122开关、耿开线125开关、耿东线123开关、耿北线113开关</t>
  </si>
  <si>
    <t xml:space="preserve">耿集变10kV2母线由于反带线路容量不足，导致耿东线、耿开线失电
耿集变10kV1母线无对外联络线路，全部失电
</t>
  </si>
  <si>
    <t>耿东线</t>
  </si>
  <si>
    <t>耿开线</t>
  </si>
  <si>
    <t>耿永线</t>
  </si>
  <si>
    <t>耿西线</t>
  </si>
  <si>
    <t>耿北线</t>
  </si>
  <si>
    <t>复兴变</t>
  </si>
  <si>
    <r>
      <rPr>
        <b/>
        <sz val="12"/>
        <color theme="1"/>
        <rFont val="宋体"/>
        <charset val="134"/>
        <scheme val="minor"/>
      </rPr>
      <t>专线：</t>
    </r>
    <r>
      <rPr>
        <sz val="12"/>
        <color theme="1"/>
        <rFont val="宋体"/>
        <charset val="134"/>
        <scheme val="minor"/>
      </rPr>
      <t xml:space="preserve">复宣线128开关、复信一线143开关、复信四线142开关、复信三线141开关、复信二线144开关、复上线127开关
</t>
    </r>
    <r>
      <rPr>
        <b/>
        <sz val="12"/>
        <color theme="1"/>
        <rFont val="宋体"/>
        <charset val="134"/>
        <scheme val="minor"/>
      </rPr>
      <t>同站联络线路：</t>
    </r>
    <r>
      <rPr>
        <sz val="12"/>
        <color theme="1"/>
        <rFont val="宋体"/>
        <charset val="134"/>
        <scheme val="minor"/>
      </rPr>
      <t>复美二线116开关、复康线123开关、复康四线136开关、复康三线133开关、复康二线134开关、复开一线111开关、复家二线130开关</t>
    </r>
  </si>
  <si>
    <t>大吴变</t>
  </si>
  <si>
    <r>
      <rPr>
        <b/>
        <sz val="12"/>
        <color theme="1"/>
        <rFont val="宋体"/>
        <charset val="134"/>
        <scheme val="minor"/>
      </rPr>
      <t>专线：</t>
    </r>
    <r>
      <rPr>
        <sz val="12"/>
        <color theme="1"/>
        <rFont val="宋体"/>
        <charset val="134"/>
        <scheme val="minor"/>
      </rPr>
      <t xml:space="preserve">贾吴闸线126开关、贾吴安线119开关
</t>
    </r>
    <r>
      <rPr>
        <b/>
        <sz val="12"/>
        <color theme="1"/>
        <rFont val="宋体"/>
        <charset val="134"/>
        <scheme val="minor"/>
      </rPr>
      <t>同站联络线路：</t>
    </r>
    <r>
      <rPr>
        <sz val="12"/>
        <color theme="1"/>
        <rFont val="宋体"/>
        <charset val="134"/>
        <scheme val="minor"/>
      </rPr>
      <t>贾吴小线124开关、贾吴师线114开关、贾吴科线110开关、贾吴荒线118开关、贾吴范线129开关</t>
    </r>
  </si>
  <si>
    <t>大庙变</t>
  </si>
  <si>
    <r>
      <rPr>
        <b/>
        <sz val="12"/>
        <color theme="1"/>
        <rFont val="宋体"/>
        <charset val="134"/>
        <scheme val="minor"/>
      </rPr>
      <t>专线</t>
    </r>
    <r>
      <rPr>
        <sz val="12"/>
        <color theme="1"/>
        <rFont val="宋体"/>
        <charset val="134"/>
        <scheme val="minor"/>
      </rPr>
      <t xml:space="preserve">：大阎线116开关（专线）、大马线125开关（专线）、大铁线128开关（专线）、大酒线121开关（专线）、大农线127开关（专线）
</t>
    </r>
    <r>
      <rPr>
        <b/>
        <sz val="12"/>
        <color theme="1"/>
        <rFont val="宋体"/>
        <charset val="134"/>
        <scheme val="minor"/>
      </rPr>
      <t>同站联络线路</t>
    </r>
    <r>
      <rPr>
        <sz val="12"/>
        <color theme="1"/>
        <rFont val="宋体"/>
        <charset val="134"/>
        <scheme val="minor"/>
      </rPr>
      <t>：大后线</t>
    </r>
    <r>
      <rPr>
        <sz val="12"/>
        <color theme="1"/>
        <rFont val="宋体"/>
        <charset val="0"/>
        <scheme val="minor"/>
      </rPr>
      <t>11A</t>
    </r>
    <r>
      <rPr>
        <sz val="12"/>
        <color theme="1"/>
        <rFont val="宋体"/>
        <charset val="134"/>
        <scheme val="minor"/>
      </rPr>
      <t>开关（公线）、大东线122开关（公线）、大安线126开关（公线）、</t>
    </r>
  </si>
  <si>
    <t>大黄山变</t>
  </si>
  <si>
    <r>
      <rPr>
        <sz val="12"/>
        <color theme="1"/>
        <rFont val="宋体"/>
        <charset val="134"/>
        <scheme val="minor"/>
      </rPr>
      <t xml:space="preserve">专线：黄硅一线105开关、黄硅线118开关
</t>
    </r>
    <r>
      <rPr>
        <b/>
        <sz val="12"/>
        <color theme="1"/>
        <rFont val="宋体"/>
        <charset val="134"/>
        <scheme val="minor"/>
      </rPr>
      <t>同站联络线路：</t>
    </r>
    <r>
      <rPr>
        <sz val="12"/>
        <color theme="1"/>
        <rFont val="宋体"/>
        <charset val="134"/>
        <scheme val="minor"/>
      </rPr>
      <t>黄朱线111开关、黄小线109开关、黄西线106开关、黄昇线114开关、黄可线110开关、黄荆线113开关、黄金线107开关、黄墩线117开关、黄安线108开关</t>
    </r>
  </si>
  <si>
    <t>大黄山变10kV1母线所有出线均无对外联络线路，由10kV2母线反带1母线，导致10kV黄墩线、黄朱线失电</t>
  </si>
  <si>
    <t>黄墩线</t>
  </si>
  <si>
    <t>黄朱线</t>
  </si>
  <si>
    <t>苏堤变</t>
  </si>
  <si>
    <t>25</t>
  </si>
  <si>
    <r>
      <rPr>
        <b/>
        <sz val="12"/>
        <color theme="1"/>
        <rFont val="宋体"/>
        <charset val="134"/>
        <scheme val="minor"/>
      </rPr>
      <t>专线：</t>
    </r>
    <r>
      <rPr>
        <sz val="12"/>
        <color theme="1"/>
        <rFont val="宋体"/>
        <charset val="134"/>
        <scheme val="minor"/>
      </rPr>
      <t xml:space="preserve">苏医线129开关、苏宁一线141开关、苏宁三线134开关、苏宁二线132开关
</t>
    </r>
    <r>
      <rPr>
        <b/>
        <sz val="12"/>
        <color theme="1"/>
        <rFont val="宋体"/>
        <charset val="134"/>
        <scheme val="minor"/>
      </rPr>
      <t>同站联络线路：</t>
    </r>
    <r>
      <rPr>
        <sz val="12"/>
        <color theme="1"/>
        <rFont val="宋体"/>
        <charset val="134"/>
        <scheme val="minor"/>
      </rPr>
      <t>苏天二线111开关、苏尚线苏矿线145开关、苏淮线115开关</t>
    </r>
  </si>
  <si>
    <t>七里沟变</t>
  </si>
  <si>
    <r>
      <rPr>
        <sz val="12"/>
        <color theme="1"/>
        <rFont val="宋体"/>
        <charset val="134"/>
        <scheme val="minor"/>
      </rPr>
      <t xml:space="preserve">专线：七污线117开关、七河线139开关、七成线112开关
</t>
    </r>
    <r>
      <rPr>
        <b/>
        <sz val="12"/>
        <color theme="1"/>
        <rFont val="宋体"/>
        <charset val="134"/>
        <scheme val="minor"/>
      </rPr>
      <t>同站联络线路：</t>
    </r>
    <r>
      <rPr>
        <sz val="12"/>
        <color theme="1"/>
        <rFont val="宋体"/>
        <charset val="134"/>
        <scheme val="minor"/>
      </rPr>
      <t>七缘线120开关、七田线109开关、七如线163开关、七泉线115开关、七九线116开关、七菁线155开关、七淮线125开关、七海线157开关、七管线140开关、七东一线111开关、七东二线114开关、七道线153开关、七翠线131开关、七滨一线113开关、七滨二线133开关</t>
    </r>
  </si>
  <si>
    <t>七里沟变10kV1母线由于反带线路容量不足，导致七泉线、七污线失电</t>
  </si>
  <si>
    <t>七泉线</t>
  </si>
  <si>
    <t>七污线</t>
  </si>
  <si>
    <t>贺村变</t>
  </si>
  <si>
    <r>
      <rPr>
        <sz val="12"/>
        <color theme="1"/>
        <rFont val="宋体"/>
        <charset val="134"/>
        <scheme val="minor"/>
      </rPr>
      <t>专线：贺科线</t>
    </r>
    <r>
      <rPr>
        <sz val="12"/>
        <color theme="1"/>
        <rFont val="宋体"/>
        <charset val="0"/>
        <scheme val="minor"/>
      </rPr>
      <t>124</t>
    </r>
    <r>
      <rPr>
        <sz val="12"/>
        <color theme="1"/>
        <rFont val="宋体"/>
        <charset val="134"/>
        <scheme val="minor"/>
      </rPr>
      <t>开关（专线）、贺泰线</t>
    </r>
    <r>
      <rPr>
        <sz val="12"/>
        <color theme="1"/>
        <rFont val="宋体"/>
        <charset val="0"/>
        <scheme val="minor"/>
      </rPr>
      <t>125</t>
    </r>
    <r>
      <rPr>
        <sz val="12"/>
        <color theme="1"/>
        <rFont val="宋体"/>
        <charset val="134"/>
        <scheme val="minor"/>
      </rPr>
      <t>开关（专线）、贺高线</t>
    </r>
    <r>
      <rPr>
        <sz val="12"/>
        <color theme="1"/>
        <rFont val="宋体"/>
        <charset val="0"/>
        <scheme val="minor"/>
      </rPr>
      <t>11A</t>
    </r>
    <r>
      <rPr>
        <sz val="12"/>
        <color theme="1"/>
        <rFont val="宋体"/>
        <charset val="134"/>
        <scheme val="minor"/>
      </rPr>
      <t>开关（专线）、贺医一线</t>
    </r>
    <r>
      <rPr>
        <sz val="12"/>
        <color theme="1"/>
        <rFont val="宋体"/>
        <charset val="0"/>
        <scheme val="minor"/>
      </rPr>
      <t>110</t>
    </r>
    <r>
      <rPr>
        <sz val="12"/>
        <color theme="1"/>
        <rFont val="宋体"/>
        <charset val="134"/>
        <scheme val="minor"/>
      </rPr>
      <t>开关（专线）、贺柴线</t>
    </r>
    <r>
      <rPr>
        <sz val="12"/>
        <color theme="1"/>
        <rFont val="宋体"/>
        <charset val="0"/>
        <scheme val="minor"/>
      </rPr>
      <t>115</t>
    </r>
    <r>
      <rPr>
        <sz val="12"/>
        <color theme="1"/>
        <rFont val="宋体"/>
        <charset val="134"/>
        <scheme val="minor"/>
      </rPr>
      <t xml:space="preserve">开关（专线）
</t>
    </r>
    <r>
      <rPr>
        <b/>
        <sz val="12"/>
        <color theme="1"/>
        <rFont val="宋体"/>
        <charset val="134"/>
        <scheme val="minor"/>
      </rPr>
      <t>同站联络线路</t>
    </r>
    <r>
      <rPr>
        <sz val="12"/>
        <color theme="1"/>
        <rFont val="宋体"/>
        <charset val="134"/>
        <scheme val="minor"/>
      </rPr>
      <t>：贺西一线贺山一线119开关（公线）、贺西二线贺山二线121开关（公线）、贺地线163开关（公线）、贺保线161开关（公线）、贺君一线138开关（公线）</t>
    </r>
  </si>
  <si>
    <t>贺村变10kV1母线由于反带线路容量不足，导致贺城一线贺东A线、贺西一线贺山一线失电</t>
  </si>
  <si>
    <t>贺城一线贺东A线</t>
  </si>
  <si>
    <t>贺西一线贺山一线</t>
  </si>
  <si>
    <t>丰县</t>
  </si>
  <si>
    <t>单楼变</t>
  </si>
  <si>
    <t>单辐射：单晟线（公线）    同站联络：单北线（公线）、单安线（公线）、单蒋线（公线）、单三线（公线）、单楼线（公线）、单许线（公线）、单赵线（公线）</t>
  </si>
  <si>
    <t>单楼变由于对外联络较少，高峰期间，全站负荷较重，导致无法全停全转，具体原因如下：（1）单楼变共10条出线，仅单曹线、单王线与站外有联络，且对侧线路可开放容量不足；（2）单晟线为光伏线路，无对外联络。</t>
  </si>
  <si>
    <t>单三线、单安线、单北线、单晟线、单蒋线、单许线</t>
  </si>
  <si>
    <t>1.47、2.26、2.05、0、1.37、2.68</t>
  </si>
  <si>
    <t>80、80、69、4、36、54</t>
  </si>
  <si>
    <t>和集变</t>
  </si>
  <si>
    <t>同站联络：和集线（公线）
、和徐线（公线）</t>
  </si>
  <si>
    <t>宋楼变</t>
  </si>
  <si>
    <t>同站联络：宋工线（公线）
、宋岗线（公线）</t>
  </si>
  <si>
    <t>师寨变</t>
  </si>
  <si>
    <t>同站联络：师寨线（公线）
、师昌线（公线）</t>
  </si>
  <si>
    <t>张五楼变</t>
  </si>
  <si>
    <t>单辐射：张光线（专线）、张建线（专线）、张森线（专线）</t>
  </si>
  <si>
    <t>刘王楼变</t>
  </si>
  <si>
    <t>同站联络：刘王线（公线）、刘许线（公线）、刘丰线（公线）</t>
  </si>
  <si>
    <t>李寨变</t>
  </si>
  <si>
    <t>同站联络：李寨线（公线）、李工线（公线）</t>
  </si>
  <si>
    <t>范楼变</t>
  </si>
  <si>
    <t>同站联络：范杨线（公线）、范汪线（公线）、范程线（公线）、范富线（公线）</t>
  </si>
  <si>
    <t>范楼变由于对外联络较少，且范东线、范镇线、范丁线的对外联络均为梁邓线，高峰期间，整体负荷较重，导致无法全停全转，具体原因如下：范楼变共10条出线，仅范东线、范齐线等与站外有联络，且对侧线路可开放容量不足；</t>
  </si>
  <si>
    <t>范汪线</t>
  </si>
  <si>
    <t>丰县变</t>
  </si>
  <si>
    <t>同站联络：丰安线（公线）、丰佳线(遥)（公线）                  单辐射线路：丰化线（专线）、丰商线（公线）、丰河线（公线）、丰银线（专线）</t>
  </si>
  <si>
    <t>丰县变由于对外联络较少，高峰期间，整体负荷较重，导致无法全停全转，具体原因如下：（1）丰县变共21条出线，仅丰状线、丰发线等14条线路与站外有联络，且对侧线路可开放容量不足；（2）丰银线、丰化线为光伏线路，无对外联络。</t>
  </si>
  <si>
    <t>丰佳线、丰开线</t>
  </si>
  <si>
    <t>2.35、4.7</t>
  </si>
  <si>
    <t>7、91</t>
  </si>
  <si>
    <t>孙楼变</t>
  </si>
  <si>
    <t>同站联络：孙李线（公线）、孙陈线（公线）                  单辐射线路：孙医一线（公线）、孙医二线（公线）</t>
  </si>
  <si>
    <t>孙楼变由于对外联络较少，高峰期间，整体负荷较重，导致无法全停全转，具体原因如下：孙楼变共9条出线，仅孙洼线、孙蔡线等4条线路与站外有联络，且对侧线路可开放容量不足；</t>
  </si>
  <si>
    <t>孙钢线</t>
  </si>
  <si>
    <t>顺河变</t>
  </si>
  <si>
    <r>
      <rPr>
        <sz val="12"/>
        <rFont val="宋体"/>
        <charset val="0"/>
      </rPr>
      <t>同站联络：顺鼎线（公线）、顺龙线（公线）、顺巩线（公线）
单辐射线路：顺鑫线（公线）、顺丰线（专线）、顺君线（专线）、</t>
    </r>
    <r>
      <rPr>
        <sz val="12"/>
        <color rgb="FFFF0000"/>
        <rFont val="宋体"/>
        <charset val="0"/>
      </rPr>
      <t>顺鸿线（公线）</t>
    </r>
  </si>
  <si>
    <t>顺河变由于对外联络较少，整体负荷较重，导致无法全停全转，具体原因如下：（1）顺河变共13条出线，仅顺河线、顺常线等线路与站外有联络，且对侧线路可开放容量不足；（2）顺鑫线、顺丰线等为单辐射线路，无对外联络。</t>
  </si>
  <si>
    <t>顺工线</t>
  </si>
  <si>
    <t>梁寨变</t>
  </si>
  <si>
    <t>同站联络：梁周线（公线）、梁华线（公线）、梁西线（公线）、梁寨线（公线）、梁镇线（公线）</t>
  </si>
  <si>
    <t>梁寨变由于对外联络较少，整体负荷较重，导致无法全停全转，具体原因如下：梁寨变共12条出线，仅梁金线、梁红线等7条线路与站外有联络，且对侧线路可开放容量不足</t>
  </si>
  <si>
    <t>梁红线、梁杨线、梁周线、梁新线</t>
  </si>
  <si>
    <t>4.08、4.14、2.10、1.49</t>
  </si>
  <si>
    <t>50、29、38、34</t>
  </si>
  <si>
    <t>首羡变</t>
  </si>
  <si>
    <t>同站联络：首沙线（公线）、首羡线（公线）、首镇线（公线）、首葛线（公线）、首屯线（公线）、首工二线（公线）、首工一线（公线）</t>
  </si>
  <si>
    <t>郭楼变</t>
  </si>
  <si>
    <t>同站联络：郭阳线（公线）、郭融线（公线）、郭翡二线（公线）、郭金线（公线）、郭玫线（公线）
单辐射线路：郭文线（公线）、郭中线（公线）</t>
  </si>
  <si>
    <t>郭楼变整体负荷较重，导致无法全停全转，具体原因如下：（1）对侧线路可开放容量不足；（2）郭文线、郭中线等为单辐射线路，无对外联络。</t>
  </si>
  <si>
    <t>郭御线、郭翠线、郭华线、郭香线、郭新线、郭欢线、郭景线</t>
  </si>
  <si>
    <t>4.29、4.67、5.44、2.48、4.35、3.49、3.34</t>
  </si>
  <si>
    <t>48、48、30、10、20、27、52</t>
  </si>
  <si>
    <t>史小桥变</t>
  </si>
  <si>
    <t>单辐射线路：史奔一线(遥)（专线）、史铁线(遥)（专线）</t>
  </si>
  <si>
    <t>于双楼变</t>
  </si>
  <si>
    <t>同站联络：于邦线（公线）
、于配三线（公线）、于冯线（公线）、于力线（公线）、于杨线（公线）、于配一线（公线）、于刘线（公线）、于配二线（公线）
单辐射线路：于极线（专线）、于伏线（专线）、于苯线（公线）</t>
  </si>
  <si>
    <t>于双楼变由于对外联络较少，全站负荷较重，导致无法全停全转，具体原因如下：（1）于双楼变共24条出线，仅于金线、于马线等10条线路与站外有联络，且对侧线路可开放容量不足；（2）于极线、于苯线等为单辐射线路，无对外联络。</t>
  </si>
  <si>
    <t>23.08</t>
  </si>
  <si>
    <t>13.15</t>
  </si>
  <si>
    <t>于极线、于古线、于常线、于耀线、于马线、于南线、于金线、于苏线</t>
  </si>
  <si>
    <t>6.09、3.94、1.76、2.74、2.17、2.47、0.8、3.34</t>
  </si>
  <si>
    <t>6、88、25、92、39、34、23、47</t>
  </si>
  <si>
    <t>沙园变</t>
  </si>
  <si>
    <t xml:space="preserve">同站联络：沙季线(遥)（公线）、 沙品线（公线）、沙黄线（公线）、沙嗉线（公线）
单辐射线路：沙运线（专线） </t>
  </si>
  <si>
    <t>沙园变由全站负荷较重，导致无法全停全转，具体原因如下：（1）对侧线路可开放容量不足；（2）沙运线为单辐射线路，无对外联络。</t>
  </si>
  <si>
    <t>沙环一线、沙黄线</t>
  </si>
  <si>
    <t>3.24、1.07</t>
  </si>
  <si>
    <t>52、34</t>
  </si>
  <si>
    <t>凤城变</t>
  </si>
  <si>
    <t xml:space="preserve">同站联络：凤安线（公线）、凤达线（公线）、凤德线（公线）、凤倍线（公线）、凤水线（公线）、凤智线（公线）、凤斯线（公线）、凤木线（公线）、凤展线（公线）
单辐射线路：凤伏线（专线）、凤宝线（专线）、凤医线（公线）、凤晶线（公线）、凤械线（公线）
</t>
  </si>
  <si>
    <t>凤城变由于对外联络较少，全站负荷较重，导致无法全停全转，具体原因如下：（1）凤城变共23条出线，仅凤刘线、凤渠线等10条线路与站外有联络，且对侧线路可开放容量不足；（2）凤晶线、凤械线等为单辐射线路，无对外联络。</t>
  </si>
  <si>
    <t>凤宝线、凤德线、凤倍线</t>
  </si>
  <si>
    <t>2.59、0.5、0.04</t>
  </si>
  <si>
    <t>7、11、33</t>
  </si>
  <si>
    <t>大沙河变</t>
  </si>
  <si>
    <t>同站联络：河岳线（公线）
、河宋线（公线）</t>
  </si>
  <si>
    <t>套楼变</t>
  </si>
  <si>
    <t>同站联络：套毛线（公线）
、套杨线（公线）、套渠线（公线）、套满线（公线）、套华线（公线）、 套瓦线（公线）</t>
  </si>
  <si>
    <t>22.23</t>
  </si>
  <si>
    <t>徐楼变</t>
  </si>
  <si>
    <t>同站联络：徐碳线（公线）
、徐兴线（公线）、徐水线（公线）、徐工一线（公线）、徐阳线（公线）、徐汉线（公线）、徐于线（公线）、徐魏线（公线）、徐张线（公线） 、徐尹线（公线） 、徐镇线（公线）徐沙线（公线）、徐卞线（公线）、徐鲁线（公线）、徐肖122开关(遥)（公线）、徐邓线（公线）、徐府线（公线）、徐工二线（公线）
单辐射线路：徐金线（公线）、徐鹏线（公线）、徐肖线（公线）</t>
  </si>
  <si>
    <t>对外联络少，仅徐董线对外有联络</t>
  </si>
  <si>
    <t>徐水线、徐兴线、徐碳线、徐汉线、徐阳线、徐沙线、徐邓线、徐肖线、徐鲁线、徐鹏线、徐工二线、徐府线、徐尹线、徐镇线、徐卞线</t>
  </si>
  <si>
    <t>3.67、1.92、2.28、0、4.58、1.68、2.10、0.2、0.15、0、0.47、3.72、3.34、3.71、4.8</t>
  </si>
  <si>
    <t>5、74、80、4、75、59、83、4、16、3、12、49、110、60、81</t>
  </si>
  <si>
    <t>金刘寨变</t>
  </si>
  <si>
    <t>同站联络：金站一线（公线）、金安线（公线）、金刘线（ 公线）、金王线（公线）、金夏线（公线） 、金镇线（公线）、、金站二线(遥)（公线）、金彭线（公线）       单辐射线路：金晟线（公线）</t>
  </si>
  <si>
    <t>金刘寨变由于对外联络较少，全站负荷较重，导致无法全停全转，具体原因如下：（1）金刘寨变共23条出线，仅金青线、金李线等5条线路与站外有联络，且对侧线路可开放容量不足；（2）金晟线为单辐射线路，无对外联络。</t>
  </si>
  <si>
    <t>金夏线、金站一线</t>
  </si>
  <si>
    <t>1.61、1.77</t>
  </si>
  <si>
    <t>58、56</t>
  </si>
  <si>
    <t>振丰变</t>
  </si>
  <si>
    <t>同站联络：振赵线（公线）</t>
  </si>
  <si>
    <t>大洼变</t>
  </si>
  <si>
    <t xml:space="preserve">同站联络：大程线（公线）
单辐射线路：大水线（公线）、大院线（公线）、大泵线（公线）、大医线（公线）
</t>
  </si>
  <si>
    <t>大洼变全站负荷较重且对侧线路可开放容量不足</t>
  </si>
  <si>
    <t>30.40</t>
  </si>
  <si>
    <t>大泵线、大职线</t>
  </si>
  <si>
    <t>1.43、3.19</t>
  </si>
  <si>
    <t>10、53</t>
  </si>
  <si>
    <t>丰邦变</t>
  </si>
  <si>
    <t>8.54</t>
  </si>
  <si>
    <t>新沂</t>
  </si>
  <si>
    <t>纪集变</t>
  </si>
  <si>
    <t>同站联络线路：纪东线、纪华线、纪街线、纪开线、纪开二线、纪西二线、纪西线</t>
  </si>
  <si>
    <r>
      <rPr>
        <sz val="12"/>
        <color rgb="FFFF0000"/>
        <rFont val="宋体"/>
        <charset val="0"/>
        <scheme val="minor"/>
      </rPr>
      <t>纪集变因站外联络率低，无法全转，具体原因如下：</t>
    </r>
    <r>
      <rPr>
        <sz val="12"/>
        <color theme="1"/>
        <rFont val="宋体"/>
        <charset val="0"/>
        <scheme val="minor"/>
      </rPr>
      <t xml:space="preserve">
全站负荷为22.45MW。1母线所有出线均无站外联络，1母线上纪华线（3.47MW）、纪街线（2.77MW）、纪西线（3.85MW）失负荷，2母线纪堰线切王堰线，其余负荷因无外来联络，通过王平线带纪南线带供导致对端线路可开放容量不足，需失纪西二线负荷（3.19MW）
</t>
    </r>
  </si>
  <si>
    <t>纪华线</t>
  </si>
  <si>
    <t>D类</t>
  </si>
  <si>
    <t>纪街线</t>
  </si>
  <si>
    <t>纪西线</t>
  </si>
  <si>
    <t>纪西二线</t>
  </si>
  <si>
    <t>王楼变</t>
  </si>
  <si>
    <t>单辐射线路：王水线（专线）</t>
  </si>
  <si>
    <r>
      <rPr>
        <sz val="12"/>
        <color rgb="FFFF0000"/>
        <rFont val="宋体"/>
        <charset val="0"/>
        <scheme val="minor"/>
      </rPr>
      <t>王楼变因10kV出线的站外联络线路单一无法全转，具体原因如下：
7条有站外联络的线路中有6条对端线路为古金线</t>
    </r>
    <r>
      <rPr>
        <sz val="12"/>
        <color theme="1"/>
        <rFont val="宋体"/>
        <charset val="0"/>
        <scheme val="minor"/>
      </rPr>
      <t xml:space="preserve">
导致带供时古金线（1.99MW）可开放容量不足，需失王楼线负荷（3.51MW）。
</t>
    </r>
  </si>
  <si>
    <t>王楼线</t>
  </si>
  <si>
    <t>产业变</t>
  </si>
  <si>
    <t>同站联络线路：业后线、业代线、业宠线、业友线、业港一线（为开闭所港头变电源进线）、业营线、业潼线、业王线、业赵线、业乐线、业港二线（为开闭所港头变电源进线）</t>
  </si>
  <si>
    <r>
      <rPr>
        <sz val="12"/>
        <color rgb="FFFF0000"/>
        <rFont val="宋体"/>
        <charset val="0"/>
        <scheme val="minor"/>
      </rPr>
      <t>产业变因站外联络率低，无法全转，具体原因如下：</t>
    </r>
    <r>
      <rPr>
        <sz val="12"/>
        <color theme="1"/>
        <rFont val="宋体"/>
        <charset val="0"/>
        <scheme val="minor"/>
      </rPr>
      <t xml:space="preserve">
产业变共有13条出线，仅有2线路有站外联络。高峰时期产业变全站负荷24.10MW，10kV1母线出线只有业友线有站外联络为棋冯线，10kV2母线出线只有业瓦线有站外联络为瓦袁线。通过棋冯线带供10kV1母线负荷，可切转出业宠线、业港一线、业圩线、业友线。通过瓦袁线带供10kV2母线负荷，可切转出业瓦线、业王线、业赵线、业乐线。无法转出线路有：10kV1母线上的业后线（1.72MW）、业代线（1.75MW），10kV2母线上的业营线（2.31MW）、业潼线（2.11MW）、业港二线（5.53MW）无法切转。共有13.42MW负荷无法切转，有10.68MW负荷可以切转。</t>
    </r>
  </si>
  <si>
    <t>业后线</t>
  </si>
  <si>
    <t>业代线</t>
  </si>
  <si>
    <t>业营线</t>
  </si>
  <si>
    <t>业潼线</t>
  </si>
  <si>
    <t>业港二线</t>
  </si>
  <si>
    <t>石涧变</t>
  </si>
  <si>
    <t xml:space="preserve">
同站联络线路：石南线、石夏线、石流线、石新线
</t>
  </si>
  <si>
    <r>
      <rPr>
        <sz val="12"/>
        <color rgb="FFFF0000"/>
        <rFont val="宋体"/>
        <charset val="0"/>
        <scheme val="minor"/>
      </rPr>
      <t>石涧变因5母站外联络率低、且石高线、石开线等线路高峰负荷大无法全转，具体原因如下：</t>
    </r>
    <r>
      <rPr>
        <sz val="12"/>
        <rFont val="宋体"/>
        <charset val="0"/>
        <scheme val="minor"/>
      </rPr>
      <t xml:space="preserve">
石涧变1母可完全转供
10kV3母线：石程线、石南线均无负荷，无需切转。
10kV5母线：黑马线带供3母，可开放容量不足，石流线、石高线失负荷
10kV6母线：通过神石线带供10kV6母线部分出线：石神线、石开线、石西线；石夏线（2.94MW）失负荷。</t>
    </r>
  </si>
  <si>
    <t>石夏线</t>
  </si>
  <si>
    <t>石流线</t>
  </si>
  <si>
    <t>石高线</t>
  </si>
  <si>
    <t>南陈变</t>
  </si>
  <si>
    <t xml:space="preserve">单辐射线路：南道一线（道北变开闭所电源线）、南道二线（道北变开闭所电源线）、南墩线
同站联络线路：南珑线、南村线、南郡线
</t>
  </si>
  <si>
    <t>可完全转供</t>
  </si>
  <si>
    <t>\</t>
  </si>
  <si>
    <t>C类</t>
  </si>
  <si>
    <t>瓦窑变</t>
  </si>
  <si>
    <t>同站联络线路：瓦街二线、瓦开线</t>
  </si>
  <si>
    <t>古镇变</t>
  </si>
  <si>
    <t>单辐射线路：古水线（专线）、古海线（专线）、古窑线
同站联络线路：古刘线、古镇线、古运线、古开二线（供窑湾变开闭所电源线）、古桥线</t>
  </si>
  <si>
    <r>
      <rPr>
        <sz val="12"/>
        <color rgb="FFFF0000"/>
        <rFont val="宋体"/>
        <charset val="0"/>
        <scheme val="minor"/>
      </rPr>
      <t>古镇变因站外联络率低无法全转，具体原因如下：
古镇变共11条出线，仅3条有站外联络</t>
    </r>
    <r>
      <rPr>
        <sz val="12"/>
        <rFont val="宋体"/>
        <charset val="0"/>
        <scheme val="minor"/>
      </rPr>
      <t xml:space="preserve">
1母线用王刘线可完全带供，2母线古马线切王刘线，其余负荷因无外来联络通过王陆线带供，对端线路可开放容量不足，需失古窑线负荷（2.24MW）、古桥线负荷（2.75MW）。</t>
    </r>
  </si>
  <si>
    <t>古窑线</t>
  </si>
  <si>
    <t>古桥线</t>
  </si>
  <si>
    <t>合沟变</t>
  </si>
  <si>
    <t>同站联络线路：合杨线、合街线、合港线、合新线、合界线</t>
  </si>
  <si>
    <r>
      <rPr>
        <sz val="12"/>
        <color rgb="FFFF0000"/>
        <rFont val="宋体"/>
        <charset val="0"/>
        <scheme val="minor"/>
      </rPr>
      <t>合沟变因站外联络率低无法全转，具体原因如下：</t>
    </r>
    <r>
      <rPr>
        <sz val="12"/>
        <rFont val="宋体"/>
        <charset val="0"/>
        <scheme val="minor"/>
      </rPr>
      <t xml:space="preserve">
合沟变共有7条出线，仅2条线路有站外联络线路
1母线由瓦北线带供，需失合杨线（2.84MW）；2母线用港南线带供，四条出线仅有合港线有对外联络，对端可开放容量不足，需失合新线（2.36MW）、合青线负荷（2.98MW）。</t>
    </r>
  </si>
  <si>
    <t>合新线</t>
  </si>
  <si>
    <t>合青线</t>
  </si>
  <si>
    <t>合杨线</t>
  </si>
  <si>
    <t>黑埠变</t>
  </si>
  <si>
    <r>
      <rPr>
        <sz val="12"/>
        <color theme="1" tint="0.0499893185216834"/>
        <rFont val="宋体"/>
        <charset val="134"/>
      </rPr>
      <t>单辐射线路：黑阳</t>
    </r>
    <r>
      <rPr>
        <sz val="12"/>
        <color rgb="FF000000"/>
        <rFont val="宋体"/>
        <charset val="134"/>
      </rPr>
      <t>线</t>
    </r>
    <r>
      <rPr>
        <sz val="12"/>
        <color theme="1" tint="0.0499893185216834"/>
        <rFont val="宋体"/>
        <charset val="134"/>
      </rPr>
      <t>（专线）、黑石线（专线）、黑园</t>
    </r>
    <r>
      <rPr>
        <sz val="12"/>
        <color rgb="FF000000"/>
        <rFont val="宋体"/>
        <charset val="134"/>
      </rPr>
      <t>线、</t>
    </r>
    <r>
      <rPr>
        <sz val="12"/>
        <color theme="1" tint="0.0499893185216834"/>
        <rFont val="宋体"/>
        <charset val="134"/>
      </rPr>
      <t>黑发</t>
    </r>
    <r>
      <rPr>
        <sz val="12"/>
        <color rgb="FF000000"/>
        <rFont val="宋体"/>
        <charset val="134"/>
      </rPr>
      <t>线</t>
    </r>
    <r>
      <rPr>
        <sz val="12"/>
        <color rgb="FF000000"/>
        <rFont val="Arial"/>
        <charset val="134"/>
      </rPr>
      <t xml:space="preserve">
</t>
    </r>
    <r>
      <rPr>
        <sz val="12"/>
        <color rgb="FF000000"/>
        <rFont val="宋体"/>
        <charset val="134"/>
      </rPr>
      <t>同站联络线路：</t>
    </r>
    <r>
      <rPr>
        <sz val="12"/>
        <color theme="1" tint="0.0499893185216834"/>
        <rFont val="宋体"/>
        <charset val="134"/>
      </rPr>
      <t xml:space="preserve">黑桃线、黑街线、黑合线、黑蒋线
</t>
    </r>
  </si>
  <si>
    <r>
      <rPr>
        <sz val="12"/>
        <color rgb="FFFF0000"/>
        <rFont val="宋体"/>
        <charset val="0"/>
        <scheme val="minor"/>
      </rPr>
      <t>黑埠变因站外联络率低无法全转，具体原因如下：</t>
    </r>
    <r>
      <rPr>
        <sz val="12"/>
        <rFont val="宋体"/>
        <charset val="0"/>
        <scheme val="minor"/>
      </rPr>
      <t xml:space="preserve">
</t>
    </r>
    <r>
      <rPr>
        <sz val="12"/>
        <color rgb="FFFF0000"/>
        <rFont val="宋体"/>
        <charset val="0"/>
        <scheme val="minor"/>
      </rPr>
      <t>黑埠变共有12条出线，仅4条线路有站外联络线路</t>
    </r>
    <r>
      <rPr>
        <sz val="12"/>
        <rFont val="宋体"/>
        <charset val="0"/>
        <scheme val="minor"/>
      </rPr>
      <t xml:space="preserve">
1母可通过双开线完全带供；2母线用阿徐线带供，但2母高峰期负荷较重，且6条出现中4条线路无对外联络，导致需失黑街线（5.08MW）、黑工线（0.86MW）负荷</t>
    </r>
  </si>
  <si>
    <t>黑街线</t>
  </si>
  <si>
    <t>黑工线</t>
  </si>
  <si>
    <t>御窑变</t>
  </si>
  <si>
    <r>
      <rPr>
        <sz val="12"/>
        <color rgb="FF000000"/>
        <rFont val="宋体"/>
        <charset val="134"/>
      </rPr>
      <t>同站联络线路：</t>
    </r>
    <r>
      <rPr>
        <sz val="12"/>
        <color theme="1" tint="0.0499893185216834"/>
        <rFont val="宋体"/>
        <charset val="134"/>
      </rPr>
      <t xml:space="preserve">御柳线、御双线
</t>
    </r>
  </si>
  <si>
    <t>马陵山变</t>
  </si>
  <si>
    <t>同站联络线路：马宋线</t>
  </si>
  <si>
    <t>坡桥变</t>
  </si>
  <si>
    <r>
      <rPr>
        <sz val="12"/>
        <color theme="1" tint="0.0499893185216834"/>
        <rFont val="宋体"/>
        <charset val="134"/>
      </rPr>
      <t>单辐射线路：坡工线</t>
    </r>
    <r>
      <rPr>
        <sz val="12"/>
        <color rgb="FF000000"/>
        <rFont val="Arial"/>
        <charset val="134"/>
      </rPr>
      <t xml:space="preserve">
</t>
    </r>
    <r>
      <rPr>
        <sz val="12"/>
        <color rgb="FF000000"/>
        <rFont val="宋体"/>
        <charset val="134"/>
      </rPr>
      <t>同站联络线路：坡湖线、坡唐一线</t>
    </r>
    <r>
      <rPr>
        <sz val="12"/>
        <color theme="1" tint="0.0499893185216834"/>
        <rFont val="宋体"/>
        <charset val="134"/>
      </rPr>
      <t xml:space="preserve">
</t>
    </r>
  </si>
  <si>
    <t>阿湖变</t>
  </si>
  <si>
    <t>单辐射线路：阿黑线
同站联络线路：阿街线</t>
  </si>
  <si>
    <t>邵店变</t>
  </si>
  <si>
    <t>同站联络线路：邵街线</t>
  </si>
  <si>
    <t>墨河变</t>
  </si>
  <si>
    <t xml:space="preserve">单辐射线路：墨鲁线（专线）、墨西线、墨高线（高铁专线）、墨胶线（铁路专线）
同站联络线路：墨工线
</t>
  </si>
  <si>
    <t>B类</t>
  </si>
  <si>
    <t>凤云变</t>
  </si>
  <si>
    <r>
      <rPr>
        <sz val="12"/>
        <color theme="1" tint="0.0499893185216834"/>
        <rFont val="宋体"/>
        <charset val="134"/>
      </rPr>
      <t>单辐射线路：凤时一</t>
    </r>
    <r>
      <rPr>
        <sz val="12"/>
        <color rgb="FF000000"/>
        <rFont val="宋体"/>
        <charset val="134"/>
      </rPr>
      <t>线</t>
    </r>
    <r>
      <rPr>
        <sz val="12"/>
        <color theme="1" tint="0.0499893185216834"/>
        <rFont val="宋体"/>
        <charset val="134"/>
      </rPr>
      <t>（时集变开闭所电源线）、凤时二线（时集变开闭所电源线）、凤云线</t>
    </r>
    <r>
      <rPr>
        <sz val="12"/>
        <color rgb="FF000000"/>
        <rFont val="Arial"/>
        <charset val="134"/>
      </rPr>
      <t xml:space="preserve">
</t>
    </r>
    <r>
      <rPr>
        <sz val="12"/>
        <color theme="1" tint="0.0499893185216834"/>
        <rFont val="宋体"/>
        <charset val="134"/>
      </rPr>
      <t>同站联络线路：凤开线、凤明线</t>
    </r>
  </si>
  <si>
    <r>
      <rPr>
        <sz val="12"/>
        <color rgb="FFFF0000"/>
        <rFont val="宋体"/>
        <charset val="134"/>
      </rPr>
      <t>凤云变因1母线6条出线仅两条有站外联络，联络率较低无法全转，具体原因如下：</t>
    </r>
    <r>
      <rPr>
        <sz val="12"/>
        <color theme="1" tint="0.0499893185216834"/>
        <rFont val="宋体"/>
        <charset val="134"/>
      </rPr>
      <t xml:space="preserve">
高峰时期全站负荷为27.85MW，1母线凤踢线切马周线，马时线（2.33MW）带供1母线其余负荷会导致线路超载需失凤时一线负荷（1.23MW），2母线可完全转供。</t>
    </r>
  </si>
  <si>
    <t>凤时一线</t>
  </si>
  <si>
    <t>双塘变</t>
  </si>
  <si>
    <r>
      <rPr>
        <sz val="12"/>
        <color theme="1" tint="0.0499893185216834"/>
        <rFont val="宋体"/>
        <charset val="134"/>
      </rPr>
      <t>单辐射线路：双福</t>
    </r>
    <r>
      <rPr>
        <sz val="12"/>
        <color rgb="FF000000"/>
        <rFont val="宋体"/>
        <charset val="134"/>
      </rPr>
      <t>线、</t>
    </r>
    <r>
      <rPr>
        <sz val="12"/>
        <color theme="1" tint="0.0499893185216834"/>
        <rFont val="宋体"/>
        <charset val="134"/>
      </rPr>
      <t>双工</t>
    </r>
    <r>
      <rPr>
        <sz val="12"/>
        <color rgb="FF000000"/>
        <rFont val="宋体"/>
        <charset val="134"/>
      </rPr>
      <t>线、</t>
    </r>
    <r>
      <rPr>
        <sz val="12"/>
        <color theme="1" tint="0.0499893185216834"/>
        <rFont val="宋体"/>
        <charset val="134"/>
      </rPr>
      <t>双水</t>
    </r>
    <r>
      <rPr>
        <sz val="12"/>
        <color rgb="FF000000"/>
        <rFont val="宋体"/>
        <charset val="134"/>
      </rPr>
      <t>线（专线）、双高线、双伏线（专线）、双河线</t>
    </r>
    <r>
      <rPr>
        <sz val="12"/>
        <color rgb="FF000000"/>
        <rFont val="Arial"/>
        <charset val="134"/>
      </rPr>
      <t xml:space="preserve">
</t>
    </r>
    <r>
      <rPr>
        <sz val="12"/>
        <color rgb="FF000000"/>
        <rFont val="宋体"/>
        <charset val="134"/>
      </rPr>
      <t>同站联络线路：</t>
    </r>
    <r>
      <rPr>
        <sz val="12"/>
        <color theme="1" tint="0.0499893185216834"/>
        <rFont val="宋体"/>
        <charset val="134"/>
      </rPr>
      <t xml:space="preserve">双丁线、双西线
</t>
    </r>
  </si>
  <si>
    <r>
      <rPr>
        <sz val="12"/>
        <color rgb="FFFF0000"/>
        <rFont val="宋体"/>
        <charset val="134"/>
      </rPr>
      <t>双塘变对外联络率较低、且对端线路负荷重，导致无法全转：</t>
    </r>
    <r>
      <rPr>
        <sz val="12"/>
        <rFont val="宋体"/>
        <charset val="134"/>
      </rPr>
      <t xml:space="preserve">
双塘变2母仅双开线有站外联络石华线，全停时石华线带供1母会导致超载，需失双河线负荷（2.58MW），1母线由于有双福线、双伏线两条专线用户，负荷较大，马时线带供时会导致线路超载，需失双工线负荷（2.24MW）</t>
    </r>
  </si>
  <si>
    <t>双河线</t>
  </si>
  <si>
    <t>双工线</t>
  </si>
  <si>
    <t>神山变</t>
  </si>
  <si>
    <t>单辐射线路：神华线（专线）、神医线（专线）
同站联络线路：神沭线、神江线</t>
  </si>
  <si>
    <t>钟吾变</t>
  </si>
  <si>
    <t>单辐射线路：钟水线（专线）、钟民线（专线）、钟山线（专线）、钟卧线（专线）、钟河线（专线）、钟金线（专线）、钟维线（专线）、钟荣线（专线）、钟星线（专线）、钟双线、钟药一线
同站联络线路：钟唐线、钟药二线、钟新线</t>
  </si>
  <si>
    <t>卓窑变</t>
  </si>
  <si>
    <t xml:space="preserve">单辐射线路：卓上线（专线）、卓康四线（公线）、卓康一线（公线）、卓康二线（公线）、卓水线（专线）、卓华线（专线）、
同站联络线路：卓创线、卓神线、卓墨线、卓开线
</t>
  </si>
  <si>
    <r>
      <rPr>
        <sz val="12"/>
        <color rgb="FFFF0000"/>
        <rFont val="宋体"/>
        <charset val="134"/>
      </rPr>
      <t xml:space="preserve">卓窑变因1母线站外无站外联络线路无法全转，具体原因如下：
</t>
    </r>
    <r>
      <rPr>
        <sz val="12"/>
        <color theme="1" tint="0.0499893185216834"/>
        <rFont val="宋体"/>
        <charset val="134"/>
      </rPr>
      <t>卓上线、卓创线、卓神线失负荷，二母线可由卓康五线联络线路钟药三线完全带供</t>
    </r>
  </si>
  <si>
    <t>卓上线</t>
  </si>
  <si>
    <t>卓创线</t>
  </si>
  <si>
    <t>卓神线</t>
  </si>
  <si>
    <t>田吴变</t>
  </si>
  <si>
    <r>
      <rPr>
        <sz val="12"/>
        <color theme="1" tint="0.0499893185216834"/>
        <rFont val="Arial"/>
        <charset val="0"/>
      </rPr>
      <t xml:space="preserve">
</t>
    </r>
    <r>
      <rPr>
        <sz val="12"/>
        <color indexed="8"/>
        <rFont val="宋体"/>
        <charset val="134"/>
      </rPr>
      <t>单辐射线路：田医线（专线）、田院线专线）</t>
    </r>
    <r>
      <rPr>
        <sz val="12"/>
        <color theme="1" tint="0.0499893185216834"/>
        <rFont val="Arial"/>
        <charset val="0"/>
      </rPr>
      <t xml:space="preserve">
</t>
    </r>
  </si>
  <si>
    <r>
      <rPr>
        <sz val="12"/>
        <color rgb="FFFF0000"/>
        <rFont val="宋体"/>
        <charset val="134"/>
      </rPr>
      <t xml:space="preserve">田吴变因本身负荷较重且对侧联络变电站新沂变负荷也较重无法全转，具体原因如下：
</t>
    </r>
    <r>
      <rPr>
        <sz val="12"/>
        <rFont val="宋体"/>
        <charset val="134"/>
      </rPr>
      <t>1母线出线全部切至对侧线路会导致新沂变1号主变超载达到113%，需失田阳线负荷（6.09MW）
2母线，田街线可切转全部负荷至新街线，新澄线带田院线、田南线，失田开线、田工线负荷。田沈线因对侧沈钟线可开放容量不足失负荷</t>
    </r>
  </si>
  <si>
    <t>田阳线</t>
  </si>
  <si>
    <t>田沈线</t>
  </si>
  <si>
    <t>田开线</t>
  </si>
  <si>
    <t>田工线</t>
  </si>
  <si>
    <t>新沂变</t>
  </si>
  <si>
    <t>单辐射线路：新海线（专线）、新开线
同站联络线路：新京线、新徐线、新南线、新平线</t>
  </si>
  <si>
    <r>
      <rPr>
        <sz val="12"/>
        <color rgb="FFFF0000"/>
        <rFont val="宋体"/>
        <charset val="134"/>
      </rPr>
      <t>新沂变因自身负荷较重（62.30MW），且对侧主要联络变电站田吴变负荷也较重，导致无法全转，具体原因如下：</t>
    </r>
    <r>
      <rPr>
        <sz val="12"/>
        <rFont val="宋体"/>
        <charset val="134"/>
      </rPr>
      <t xml:space="preserve">
1母线由沈城二线带供，对侧主要联络站田吴变负荷较重，可开放容量不足，需失新北线（1.22MW）、新工线（3.86MW）、新京线（3.20MW）、新汉线负荷（4.42MW）；2母由沈吾线带供；3母由沈澜线带供，可完全转供；4母新街线切至田街线，其余负荷通过南盛线带新盛线带供，但因6条出线仅有2条线路有站外联络，对端线路可开放容量不足，需失新药线负荷（2.35MW）。</t>
    </r>
  </si>
  <si>
    <t>新北线</t>
  </si>
  <si>
    <t>新工线</t>
  </si>
  <si>
    <t>新京线</t>
  </si>
  <si>
    <t>新汉线</t>
  </si>
  <si>
    <t>新药线</t>
  </si>
  <si>
    <t>沭东变</t>
  </si>
  <si>
    <t>单辐射线路：沭中线、沭医线（专线）、沭铁线（专线）
同站联络线路：沭马线、沭阳线、沭粮线</t>
  </si>
  <si>
    <t>沈马变</t>
  </si>
  <si>
    <t>单辐射线路：沈高线（专线）、沈城线（公线）、沈港线（专线）、沈开线（公线，为开发区变开闭所一路进线）
同站联络线路：沈校二线、沈香线、沈校线</t>
  </si>
  <si>
    <r>
      <rPr>
        <sz val="12"/>
        <color rgb="FFFF0000"/>
        <rFont val="宋体"/>
        <charset val="134"/>
      </rPr>
      <t>沈马变因自身负荷较重（59.84MW），且对侧主要联络变电站田吴变负荷也较重，导致无法全转，具体原因如下</t>
    </r>
    <r>
      <rPr>
        <sz val="12"/>
        <rFont val="宋体"/>
        <charset val="134"/>
      </rPr>
      <t xml:space="preserve">
10kV3母：沈高线为高铁双电源专线之一，负荷可全部切至另一路电源墨高线。沈唐线可切转全部负荷至唐新线，沈府线可切转全部负荷至田春线。通过田校线带供沈滨线、沈校二线、沈庄线因负荷较重（6.85MW）造成对侧线路超载，失负荷。
10kV4母可全部切转：沈城二线可切转全部负荷至墨春线，沈明线可切转全部负荷至墨发线，通过新吾线带供10kV4母线剩余全部出线：沈吾线、沈港线、沈香线、沈城线。
10kV5母线：沈马线可切转全部负荷至田马线，沈开线可切转全部负荷至墨南线，通过新沭线带供沈发线、沈交线，沈校线（3.34MW）因无对外联络失负荷，沈钟线因负荷较重（6.02MW）造成对侧线路超载，失负荷
10kV6母线：沈工线和沈升线可切转全部负荷至墨升线，通过新府线带供沈金线、沈钟二线，沈澜线。因沈田线（2.84MW）对侧联络线路田校线无可开放容量，失负荷</t>
    </r>
  </si>
  <si>
    <t>沈庄线</t>
  </si>
  <si>
    <t>6.85MW</t>
  </si>
  <si>
    <t>沈钟线</t>
  </si>
  <si>
    <t>沈校线</t>
  </si>
  <si>
    <t>沈田线</t>
  </si>
  <si>
    <t>王庄变</t>
  </si>
  <si>
    <t xml:space="preserve">同站联络线路：王城线、王街线、王南线
</t>
  </si>
  <si>
    <r>
      <rPr>
        <sz val="12"/>
        <color rgb="FFFF0000"/>
        <rFont val="宋体"/>
        <charset val="134"/>
      </rPr>
      <t>王庄变因1母出线对外联络率低无法全转。具体原因如下：</t>
    </r>
    <r>
      <rPr>
        <sz val="12"/>
        <rFont val="宋体"/>
        <charset val="134"/>
      </rPr>
      <t xml:space="preserve">
新沂王庄变高峰时期全站负荷为29.54MW。1母王小线切至滨湖线，其余负荷由滨矿线带供，但因其他5条出线中仅有两条线路有站外联络，对端线路可开放容量不足，需失王街线（6.22MW）、王城线（3.37MW）负荷；2母5条线路均有站外联络，可完全转供。</t>
    </r>
  </si>
  <si>
    <t>王街线</t>
  </si>
  <si>
    <t>王城线</t>
  </si>
  <si>
    <t>滨湖变</t>
  </si>
  <si>
    <t>同站联络线路：滨河线、滨刘线、滨小线（专线）</t>
  </si>
  <si>
    <r>
      <rPr>
        <sz val="12"/>
        <color rgb="FFFF0000"/>
        <rFont val="宋体"/>
        <charset val="134"/>
      </rPr>
      <t>滨湖变因1母、5母出线对外联络率低无法全转。具体原因如下：</t>
    </r>
    <r>
      <rPr>
        <sz val="12"/>
        <rFont val="宋体"/>
        <charset val="134"/>
      </rPr>
      <t xml:space="preserve">
滨湖变高峰时期全站负荷为22.82MW。1母由棋滨线带供，但因4条出线仅有1条有站外联络，对端线路可开放容量不足，需失滨河线（2.36MW）；2母由王新线带供，可完全转供；5母由王石线带供，但因本站负荷较重，3条出线仅有1条有站外联络，对端线路可开放容量不足，需失滨新线（4.80MW）负荷。</t>
    </r>
  </si>
  <si>
    <t>滨河线</t>
  </si>
  <si>
    <t>滨新线</t>
  </si>
  <si>
    <t>棋盘变</t>
  </si>
  <si>
    <t>单辐射线路：棋工线、棋飞线（专线）
同站联络线路：棋街线、棋墨线、棋金线、棋北线</t>
  </si>
  <si>
    <r>
      <rPr>
        <sz val="12"/>
        <color rgb="FFFF0000"/>
        <rFont val="宋体"/>
        <charset val="134"/>
      </rPr>
      <t>棋盘变因高峰时期负荷较重（35.16MW）、对外联络率低无法全转。具体原因如下：</t>
    </r>
    <r>
      <rPr>
        <sz val="12"/>
        <rFont val="宋体"/>
        <charset val="134"/>
      </rPr>
      <t xml:space="preserve">
1母线7条出线中4条有站外联络线路，因对端容量不足，需失棋沟线（3.50MW）、棋街线负荷（6.69MW）；2母由滨南线带供，6条出线仅有棋滨线有站外联络线路，对端线路可开放容量不足，需失棋金线（1.84MW）、棋墨124线负荷（1.66MW）。</t>
    </r>
  </si>
  <si>
    <t>棋沟线</t>
  </si>
  <si>
    <t>棋街线</t>
  </si>
  <si>
    <t>棋金线</t>
  </si>
  <si>
    <t>棋墨线</t>
  </si>
  <si>
    <t>沛县</t>
  </si>
  <si>
    <t>东关变</t>
  </si>
  <si>
    <t>东关变带供城区负荷，负荷重且联络线路剩余裕度小。</t>
  </si>
  <si>
    <t>湖西变</t>
  </si>
  <si>
    <t>同站联络：西机线、西东线、西工线</t>
  </si>
  <si>
    <t>胡寨变</t>
  </si>
  <si>
    <t>同站联络：胡东线、胡机线、胡北线、胡南线</t>
  </si>
  <si>
    <t>魏庙变</t>
  </si>
  <si>
    <t>单辐射：魏冯线（专线）
同站联络：魏街线、魏粮线、魏河线</t>
  </si>
  <si>
    <t>（1）有6条线路对外有联络线路，但联络线路容量不足；
（2）有1条单辐射线路为专线。</t>
  </si>
  <si>
    <t>魏西106线</t>
  </si>
  <si>
    <t>魏梅105线</t>
  </si>
  <si>
    <t>肖庄变</t>
  </si>
  <si>
    <t>张庄变</t>
  </si>
  <si>
    <t>单辐射：张泵线（专线）</t>
  </si>
  <si>
    <t>黄井变</t>
  </si>
  <si>
    <t>单辐射：黄工线（2025年将新建联络通道）
同站联络：黄井线</t>
  </si>
  <si>
    <t>孟庄变</t>
  </si>
  <si>
    <t>单辐射：孟盛线（专线）、孟李线（专线）
同站联络：孟东线、孟西线、孟河二线</t>
  </si>
  <si>
    <t>（1）有3条对外联络线路，联络线路容量不足。
（2）有2条单辐射线路，均为专线。</t>
  </si>
  <si>
    <t>同站联络：王贺线、王庄线、王东线、王郝线</t>
  </si>
  <si>
    <t>沛县变</t>
  </si>
  <si>
    <t>单辐射线路：沛啤线（专线）、沛柳线（专线）、沛医线（专线）、沛融线（专线）、沛公线（专线）、沛汉线（专线）、沛清线
同站联络线路：沛香二线</t>
  </si>
  <si>
    <t>（1）沛县变带供城区负荷，负荷大，且高峰期间联络线路负荷也重，虽有23条对外联络线路，但无法全部切转。
（2）有6条单辐射线路均为专线。</t>
  </si>
  <si>
    <t>鹿湾变</t>
  </si>
  <si>
    <t>单辐射线路：鹿医线
同站联络：鹿明线、鹿西线</t>
  </si>
  <si>
    <t>（1）有13条对外联络线路，但负荷重，联络线路容量不足。
（2）有1条单辐射线路，为公线。</t>
  </si>
  <si>
    <t>头堡变</t>
  </si>
  <si>
    <t>单辐射线路：头文线（专线）、头医线（专线）、堡嘉线（专线）
同站联络线路：头宇线、头园一线、头卡线</t>
  </si>
  <si>
    <t>（1）有23条对外联络线路，但因负荷重，联络线路容量不足。
（2）有6条单辐射线路，均为专线。</t>
  </si>
  <si>
    <t>范庄变</t>
  </si>
  <si>
    <t>单辐射线路：范嘉线（徐州嘉华健康产业发展有限公司专用）、范华线（专线）、范水1线（专线）、范石线（专线）、范铝线（专线）
同站联络线路：范屯三线、范东线、范屯一线、范安二线、范郝线、范屯二线、范江线、头范联络三线</t>
  </si>
  <si>
    <t>歌风变</t>
  </si>
  <si>
    <t>单辐射线路：歌恩线（公线专用，恩次方能源科技专用）、歌氢线（光伏上网线路）、歌晖线（专线）、歌荣线
同站联络线路：歌宝线、歌源线、歌许线、歌纺二线</t>
  </si>
  <si>
    <t>汉城变</t>
  </si>
  <si>
    <t>单辐射：汉公线（专线）、汉侨线（专线）</t>
  </si>
  <si>
    <t>杨新变</t>
  </si>
  <si>
    <t>单辐射线路：新振线（用户公线专线）
同站联络：新汉线、新明线、新屯线、新南线、新卫线、新园线、新工线、新蒋线、新刘线、新晟线</t>
  </si>
  <si>
    <t>龙北变</t>
  </si>
  <si>
    <t>单辐射线路：龙安线（专线）
同站联络：龙镇线、龙中线、龙东线、龙街线、龙西线</t>
  </si>
  <si>
    <t>（1）有10条对外联络线路，负荷重，联络线路容量不足。
（2）有1条单辐射线路，为专线。</t>
  </si>
  <si>
    <t>龙洼线</t>
  </si>
  <si>
    <t>龙镇线</t>
  </si>
  <si>
    <t>龙西线</t>
  </si>
  <si>
    <t>敬安变</t>
  </si>
  <si>
    <t>单辐射线路：敬泵线（专线）、敬阁线（专线）、敬金线（专线）、敬纱线（专线）
同站联络：敬西线、敬街线、敬南线、敬吴线、敬北线、敬农线、敬安线</t>
  </si>
  <si>
    <t>（1）有1条对外联络线路，容量有限。
（2）有4条单辐射线路，均为专线。</t>
  </si>
  <si>
    <t>敬安12C线</t>
  </si>
  <si>
    <t>敬街119线</t>
  </si>
  <si>
    <t>敬农129线</t>
  </si>
  <si>
    <t>敬南118线</t>
  </si>
  <si>
    <t>敬北127线</t>
  </si>
  <si>
    <t>鹿楼变</t>
  </si>
  <si>
    <t>单辐射：楼邹线（专线）、楼金线（专线）、楼汇线（专线）、楼桥线、楼工线
同站联络：楼林线、楼鹿西线、楼鹿西线</t>
  </si>
  <si>
    <t>（1）对外联络线路仅有3条，容量有限。
（2）单辐射线路有5条，其中3条为专线，2条公线。</t>
  </si>
  <si>
    <t>栖山变</t>
  </si>
  <si>
    <t>单辐射线路：栖汇线（专线）、栖盛线（专线）
同站联络：栖程线、栖园线、栖潘线、栖魏线、栖霞线、栖河二线、栖北线、栖工线、栖南线</t>
  </si>
  <si>
    <t>（1）有7条对外联络线路，对外联络线路较少，且联络线路容量不足。
（2）单辐射线路有2条，均为专线。</t>
  </si>
  <si>
    <t>五段变</t>
  </si>
  <si>
    <t>单辐射线路：五顺线（专线）
同站联络：五东线、五南线、五机线、五龙线</t>
  </si>
  <si>
    <t>（1）有5条对外联络线路，联络线路容量不足。
（2）单辐射线路有1条，为专线。</t>
  </si>
  <si>
    <t>五高线</t>
  </si>
  <si>
    <t>五机线</t>
  </si>
  <si>
    <t>五北线</t>
  </si>
  <si>
    <t>安国变</t>
  </si>
  <si>
    <t>单辐射线路：安邦线
同站联络：安塘线、安汉线、安西线、安张线、安工线、安吴线、安北线、安机线</t>
  </si>
  <si>
    <t>（1）有7条对外联络线路，对外联络线路较少，且联络线路容量不足。
（2）有1条单辐射线路，为公线，2025年将新增联络通道。</t>
  </si>
  <si>
    <t>周庄变</t>
  </si>
  <si>
    <r>
      <rPr>
        <sz val="12"/>
        <color theme="1"/>
        <rFont val="宋体"/>
        <charset val="134"/>
      </rPr>
      <t>单辐射线路：</t>
    </r>
    <r>
      <rPr>
        <sz val="12"/>
        <rFont val="宋体"/>
        <charset val="134"/>
      </rPr>
      <t>周西线、周恒线</t>
    </r>
    <r>
      <rPr>
        <sz val="12"/>
        <color theme="1"/>
        <rFont val="宋体"/>
        <charset val="134"/>
      </rPr>
      <t xml:space="preserve">
同站联络：周北线、周新线、周碳线</t>
    </r>
  </si>
  <si>
    <t>孔庄变</t>
  </si>
  <si>
    <t>单辐射线路：孔电线、孔灌线（专线）
同站联络：孔蔡线、孔八一线、孔七一线</t>
  </si>
  <si>
    <t>（1）有8条对外联络线路，联络线路容量不足。
（2）有2条单辐射线路，其中1条为专线，1条公线。</t>
  </si>
  <si>
    <t>朱寨变</t>
  </si>
  <si>
    <t>同站联络：朱机线、朱七线、朱八线、朱工线</t>
  </si>
  <si>
    <t>奚阁变</t>
  </si>
  <si>
    <t>单辐射线路：奚学一线（用户专线，用户侧有联络）、奚水线（用户专线，用户侧有联络）、奚学二线（用户专线，用户侧有联络）
同站联络线路：奚官线、奚贾线、奚石线、奚屯线、奚张线</t>
  </si>
  <si>
    <t>（1）有6条对外联络线路，但联络线路容量不足。
（2）有3条单辐射线路，均为专线。</t>
  </si>
  <si>
    <t>滨城变</t>
  </si>
  <si>
    <t>同站联络：滨香一线、滨文线</t>
  </si>
  <si>
    <t>汤沐变</t>
  </si>
  <si>
    <t>同站联络：汤工一线、汤南线</t>
  </si>
  <si>
    <t xml:space="preserve">有6条对外联络线路，但容量不足。
</t>
  </si>
  <si>
    <t>安和变</t>
  </si>
  <si>
    <t>汉台变</t>
  </si>
  <si>
    <t>同站联络：台东一线</t>
  </si>
  <si>
    <t>合计</t>
  </si>
  <si>
    <t>计数</t>
  </si>
  <si>
    <t>江苏.微山湖变</t>
  </si>
</sst>
</file>

<file path=xl/styles.xml><?xml version="1.0" encoding="utf-8"?>
<styleSheet xmlns="http://schemas.openxmlformats.org/spreadsheetml/2006/main" xmlns:xr9="http://schemas.microsoft.com/office/spreadsheetml/2016/revision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0_ "/>
    <numFmt numFmtId="178" formatCode="0.0%"/>
  </numFmts>
  <fonts count="48">
    <font>
      <sz val="11"/>
      <color theme="1"/>
      <name val="宋体"/>
      <charset val="134"/>
      <scheme val="minor"/>
    </font>
    <font>
      <sz val="10"/>
      <name val="Arial"/>
      <charset val="0"/>
    </font>
    <font>
      <sz val="11"/>
      <color indexed="8"/>
      <name val="宋体"/>
      <charset val="134"/>
    </font>
    <font>
      <sz val="11"/>
      <color rgb="FFFF0000"/>
      <name val="宋体"/>
      <charset val="134"/>
      <scheme val="minor"/>
    </font>
    <font>
      <sz val="11"/>
      <name val="宋体"/>
      <charset val="134"/>
      <scheme val="minor"/>
    </font>
    <font>
      <sz val="25"/>
      <name val="宋体"/>
      <charset val="0"/>
    </font>
    <font>
      <b/>
      <sz val="12"/>
      <name val="宋体"/>
      <charset val="0"/>
    </font>
    <font>
      <b/>
      <sz val="12"/>
      <name val="Arial"/>
      <charset val="0"/>
    </font>
    <font>
      <b/>
      <sz val="12"/>
      <name val="宋体"/>
      <charset val="134"/>
      <scheme val="minor"/>
    </font>
    <font>
      <sz val="12"/>
      <color theme="1"/>
      <name val="宋体"/>
      <charset val="134"/>
    </font>
    <font>
      <sz val="12"/>
      <name val="宋体"/>
      <charset val="0"/>
      <scheme val="minor"/>
    </font>
    <font>
      <sz val="12"/>
      <color rgb="FFFF0000"/>
      <name val="宋体"/>
      <charset val="134"/>
    </font>
    <font>
      <sz val="12"/>
      <color theme="1"/>
      <name val="宋体"/>
      <charset val="134"/>
      <scheme val="minor"/>
    </font>
    <font>
      <sz val="12"/>
      <name val="宋体"/>
      <charset val="134"/>
    </font>
    <font>
      <sz val="12"/>
      <name val="Arial"/>
      <charset val="0"/>
    </font>
    <font>
      <sz val="12"/>
      <color indexed="8"/>
      <name val="宋体"/>
      <charset val="134"/>
    </font>
    <font>
      <sz val="12"/>
      <name val="宋体"/>
      <charset val="0"/>
    </font>
    <font>
      <sz val="12"/>
      <name val="宋体"/>
      <charset val="134"/>
      <scheme val="minor"/>
    </font>
    <font>
      <sz val="12"/>
      <color indexed="10"/>
      <name val="宋体"/>
      <charset val="134"/>
    </font>
    <font>
      <sz val="12"/>
      <color theme="1"/>
      <name val="宋体"/>
      <charset val="0"/>
      <scheme val="minor"/>
    </font>
    <font>
      <b/>
      <sz val="12"/>
      <color theme="1"/>
      <name val="宋体"/>
      <charset val="134"/>
      <scheme val="minor"/>
    </font>
    <font>
      <sz val="11"/>
      <color theme="1"/>
      <name val="宋体"/>
      <charset val="134"/>
    </font>
    <font>
      <sz val="12"/>
      <color rgb="FFFF0000"/>
      <name val="宋体"/>
      <charset val="0"/>
    </font>
    <font>
      <sz val="12"/>
      <color rgb="FFFF0000"/>
      <name val="宋体"/>
      <charset val="0"/>
      <scheme val="minor"/>
    </font>
    <font>
      <sz val="12"/>
      <color theme="1" tint="0.0499893185216834"/>
      <name val="宋体"/>
      <charset val="134"/>
    </font>
    <font>
      <sz val="12"/>
      <color rgb="FF000000"/>
      <name val="宋体"/>
      <charset val="134"/>
    </font>
    <font>
      <sz val="12"/>
      <color theme="1" tint="0.0499893185216834"/>
      <name val="Arial"/>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Calibri"/>
      <charset val="134"/>
    </font>
    <font>
      <sz val="12"/>
      <color rgb="FF000000"/>
      <name val="Arial"/>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auto="1"/>
      </left>
      <right/>
      <top/>
      <bottom/>
      <diagonal/>
    </border>
    <border>
      <left style="thin">
        <color indexed="8"/>
      </left>
      <right style="thin">
        <color indexed="8"/>
      </right>
      <top/>
      <bottom style="thin">
        <color indexed="8"/>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diagonal/>
    </border>
    <border>
      <left style="thin">
        <color indexed="8"/>
      </left>
      <right style="thin">
        <color indexed="8"/>
      </right>
      <top style="thin">
        <color indexed="8"/>
      </top>
      <bottom/>
      <diagonal/>
    </border>
    <border>
      <left style="thin">
        <color auto="1"/>
      </left>
      <right style="thin">
        <color auto="1"/>
      </right>
      <top/>
      <bottom/>
      <diagonal/>
    </border>
    <border>
      <left style="thin">
        <color indexed="8"/>
      </left>
      <right style="thin">
        <color indexed="8"/>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style="thin">
        <color indexed="8"/>
      </left>
      <right/>
      <top style="thin">
        <color indexed="8"/>
      </top>
      <bottom/>
      <diagonal/>
    </border>
    <border>
      <left style="thin">
        <color indexed="8"/>
      </left>
      <right/>
      <top style="thin">
        <color indexed="8"/>
      </top>
      <bottom style="thin">
        <color indexed="8"/>
      </bottom>
      <diagonal/>
    </border>
    <border>
      <left/>
      <right style="thin">
        <color auto="1"/>
      </right>
      <top/>
      <bottom style="thin">
        <color auto="1"/>
      </bottom>
      <diagonal/>
    </border>
    <border>
      <left/>
      <right style="thin">
        <color auto="1"/>
      </right>
      <top/>
      <bottom/>
      <diagonal/>
    </border>
    <border>
      <left style="thin">
        <color auto="1"/>
      </left>
      <right style="thin">
        <color indexed="8"/>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0" fillId="2" borderId="20"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21" applyNumberFormat="0" applyFill="0" applyAlignment="0" applyProtection="0">
      <alignment vertical="center"/>
    </xf>
    <xf numFmtId="0" fontId="33" fillId="0" borderId="21" applyNumberFormat="0" applyFill="0" applyAlignment="0" applyProtection="0">
      <alignment vertical="center"/>
    </xf>
    <xf numFmtId="0" fontId="34" fillId="0" borderId="22" applyNumberFormat="0" applyFill="0" applyAlignment="0" applyProtection="0">
      <alignment vertical="center"/>
    </xf>
    <xf numFmtId="0" fontId="34" fillId="0" borderId="0" applyNumberFormat="0" applyFill="0" applyBorder="0" applyAlignment="0" applyProtection="0">
      <alignment vertical="center"/>
    </xf>
    <xf numFmtId="0" fontId="35" fillId="3" borderId="23" applyNumberFormat="0" applyAlignment="0" applyProtection="0">
      <alignment vertical="center"/>
    </xf>
    <xf numFmtId="0" fontId="36" fillId="4" borderId="24" applyNumberFormat="0" applyAlignment="0" applyProtection="0">
      <alignment vertical="center"/>
    </xf>
    <xf numFmtId="0" fontId="37" fillId="4" borderId="23" applyNumberFormat="0" applyAlignment="0" applyProtection="0">
      <alignment vertical="center"/>
    </xf>
    <xf numFmtId="0" fontId="38" fillId="5" borderId="25" applyNumberFormat="0" applyAlignment="0" applyProtection="0">
      <alignment vertical="center"/>
    </xf>
    <xf numFmtId="0" fontId="39" fillId="0" borderId="26" applyNumberFormat="0" applyFill="0" applyAlignment="0" applyProtection="0">
      <alignment vertical="center"/>
    </xf>
    <xf numFmtId="0" fontId="40" fillId="0" borderId="27" applyNumberFormat="0" applyFill="0" applyAlignment="0" applyProtection="0">
      <alignment vertical="center"/>
    </xf>
    <xf numFmtId="0" fontId="41" fillId="6" borderId="0" applyNumberFormat="0" applyBorder="0" applyAlignment="0" applyProtection="0">
      <alignment vertical="center"/>
    </xf>
    <xf numFmtId="0" fontId="42" fillId="7" borderId="0" applyNumberFormat="0" applyBorder="0" applyAlignment="0" applyProtection="0">
      <alignment vertical="center"/>
    </xf>
    <xf numFmtId="0" fontId="43" fillId="8" borderId="0" applyNumberFormat="0" applyBorder="0" applyAlignment="0" applyProtection="0">
      <alignment vertical="center"/>
    </xf>
    <xf numFmtId="0" fontId="44" fillId="9" borderId="0" applyNumberFormat="0" applyBorder="0" applyAlignment="0" applyProtection="0">
      <alignment vertical="center"/>
    </xf>
    <xf numFmtId="0" fontId="45" fillId="10" borderId="0" applyNumberFormat="0" applyBorder="0" applyAlignment="0" applyProtection="0">
      <alignment vertical="center"/>
    </xf>
    <xf numFmtId="0" fontId="45" fillId="11" borderId="0" applyNumberFormat="0" applyBorder="0" applyAlignment="0" applyProtection="0">
      <alignment vertical="center"/>
    </xf>
    <xf numFmtId="0" fontId="44" fillId="12" borderId="0" applyNumberFormat="0" applyBorder="0" applyAlignment="0" applyProtection="0">
      <alignment vertical="center"/>
    </xf>
    <xf numFmtId="0" fontId="44" fillId="13" borderId="0" applyNumberFormat="0" applyBorder="0" applyAlignment="0" applyProtection="0">
      <alignment vertical="center"/>
    </xf>
    <xf numFmtId="0" fontId="45" fillId="14" borderId="0" applyNumberFormat="0" applyBorder="0" applyAlignment="0" applyProtection="0">
      <alignment vertical="center"/>
    </xf>
    <xf numFmtId="0" fontId="45" fillId="15" borderId="0" applyNumberFormat="0" applyBorder="0" applyAlignment="0" applyProtection="0">
      <alignment vertical="center"/>
    </xf>
    <xf numFmtId="0" fontId="44" fillId="16" borderId="0" applyNumberFormat="0" applyBorder="0" applyAlignment="0" applyProtection="0">
      <alignment vertical="center"/>
    </xf>
    <xf numFmtId="0" fontId="44" fillId="17" borderId="0" applyNumberFormat="0" applyBorder="0" applyAlignment="0" applyProtection="0">
      <alignment vertical="center"/>
    </xf>
    <xf numFmtId="0" fontId="45" fillId="18" borderId="0" applyNumberFormat="0" applyBorder="0" applyAlignment="0" applyProtection="0">
      <alignment vertical="center"/>
    </xf>
    <xf numFmtId="0" fontId="45" fillId="19" borderId="0" applyNumberFormat="0" applyBorder="0" applyAlignment="0" applyProtection="0">
      <alignment vertical="center"/>
    </xf>
    <xf numFmtId="0" fontId="44" fillId="20" borderId="0" applyNumberFormat="0" applyBorder="0" applyAlignment="0" applyProtection="0">
      <alignment vertical="center"/>
    </xf>
    <xf numFmtId="0" fontId="44" fillId="21" borderId="0" applyNumberFormat="0" applyBorder="0" applyAlignment="0" applyProtection="0">
      <alignment vertical="center"/>
    </xf>
    <xf numFmtId="0" fontId="45" fillId="22" borderId="0" applyNumberFormat="0" applyBorder="0" applyAlignment="0" applyProtection="0">
      <alignment vertical="center"/>
    </xf>
    <xf numFmtId="0" fontId="45" fillId="23" borderId="0" applyNumberFormat="0" applyBorder="0" applyAlignment="0" applyProtection="0">
      <alignment vertical="center"/>
    </xf>
    <xf numFmtId="0" fontId="44" fillId="24" borderId="0" applyNumberFormat="0" applyBorder="0" applyAlignment="0" applyProtection="0">
      <alignment vertical="center"/>
    </xf>
    <xf numFmtId="0" fontId="44" fillId="25" borderId="0" applyNumberFormat="0" applyBorder="0" applyAlignment="0" applyProtection="0">
      <alignment vertical="center"/>
    </xf>
    <xf numFmtId="0" fontId="45" fillId="26" borderId="0" applyNumberFormat="0" applyBorder="0" applyAlignment="0" applyProtection="0">
      <alignment vertical="center"/>
    </xf>
    <xf numFmtId="0" fontId="45" fillId="27" borderId="0" applyNumberFormat="0" applyBorder="0" applyAlignment="0" applyProtection="0">
      <alignment vertical="center"/>
    </xf>
    <xf numFmtId="0" fontId="44" fillId="28" borderId="0" applyNumberFormat="0" applyBorder="0" applyAlignment="0" applyProtection="0">
      <alignment vertical="center"/>
    </xf>
    <xf numFmtId="0" fontId="44" fillId="29" borderId="0" applyNumberFormat="0" applyBorder="0" applyAlignment="0" applyProtection="0">
      <alignment vertical="center"/>
    </xf>
    <xf numFmtId="0" fontId="45" fillId="30" borderId="0" applyNumberFormat="0" applyBorder="0" applyAlignment="0" applyProtection="0">
      <alignment vertical="center"/>
    </xf>
    <xf numFmtId="0" fontId="45" fillId="31" borderId="0" applyNumberFormat="0" applyBorder="0" applyAlignment="0" applyProtection="0">
      <alignment vertical="center"/>
    </xf>
    <xf numFmtId="0" fontId="44" fillId="32" borderId="0" applyNumberFormat="0" applyBorder="0" applyAlignment="0" applyProtection="0">
      <alignment vertical="center"/>
    </xf>
    <xf numFmtId="0" fontId="13" fillId="0" borderId="0"/>
  </cellStyleXfs>
  <cellXfs count="226">
    <xf numFmtId="0" fontId="0" fillId="0" borderId="0" xfId="0">
      <alignment vertical="center"/>
    </xf>
    <xf numFmtId="0" fontId="0" fillId="0" borderId="0" xfId="0" applyFill="1">
      <alignment vertical="center"/>
    </xf>
    <xf numFmtId="0" fontId="1" fillId="0" borderId="0" xfId="0" applyFont="1" applyFill="1" applyBorder="1" applyAlignment="1">
      <alignment wrapText="1"/>
    </xf>
    <xf numFmtId="0" fontId="2" fillId="0" borderId="0" xfId="0" applyFont="1" applyFill="1" applyBorder="1" applyAlignment="1">
      <alignment vertical="center"/>
    </xf>
    <xf numFmtId="0" fontId="0" fillId="0" borderId="0" xfId="0" applyFill="1" applyAlignment="1">
      <alignment horizontal="center" vertical="center"/>
    </xf>
    <xf numFmtId="0" fontId="0" fillId="0" borderId="0" xfId="0" applyFill="1" applyAlignment="1">
      <alignment vertical="center"/>
    </xf>
    <xf numFmtId="0" fontId="3" fillId="0" borderId="0" xfId="0" applyFont="1" applyFill="1" applyAlignment="1">
      <alignment vertical="center"/>
    </xf>
    <xf numFmtId="0" fontId="4" fillId="0" borderId="0" xfId="0" applyFont="1" applyFill="1">
      <alignment vertical="center"/>
    </xf>
    <xf numFmtId="0" fontId="5" fillId="0" borderId="1" xfId="0" applyFont="1" applyFill="1" applyBorder="1" applyAlignment="1">
      <alignment horizontal="center" vertical="center"/>
    </xf>
    <xf numFmtId="0" fontId="5" fillId="0" borderId="0" xfId="0" applyFont="1" applyFill="1" applyAlignment="1">
      <alignment horizontal="center" vertical="center"/>
    </xf>
    <xf numFmtId="0" fontId="6" fillId="0" borderId="2"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8" fillId="0" borderId="0" xfId="0" applyFont="1" applyFill="1" applyBorder="1" applyAlignment="1">
      <alignment horizontal="center" vertical="center" wrapText="1"/>
    </xf>
    <xf numFmtId="0" fontId="9" fillId="0" borderId="3" xfId="0" applyFont="1" applyFill="1" applyBorder="1" applyAlignment="1">
      <alignment horizontal="center" vertical="center"/>
    </xf>
    <xf numFmtId="10" fontId="10" fillId="0" borderId="4" xfId="0" applyNumberFormat="1" applyFont="1" applyFill="1" applyBorder="1" applyAlignment="1">
      <alignment horizontal="center" vertical="center" wrapText="1"/>
    </xf>
    <xf numFmtId="0" fontId="9" fillId="0" borderId="3" xfId="0" applyFont="1" applyFill="1" applyBorder="1" applyAlignment="1">
      <alignment horizontal="center" vertical="center" wrapText="1"/>
    </xf>
    <xf numFmtId="0" fontId="9" fillId="0" borderId="5" xfId="0" applyFont="1" applyFill="1" applyBorder="1" applyAlignment="1">
      <alignment horizontal="center" vertical="center"/>
    </xf>
    <xf numFmtId="0" fontId="11" fillId="0" borderId="5" xfId="0" applyFont="1" applyFill="1" applyBorder="1" applyAlignment="1">
      <alignment horizontal="center" vertical="center"/>
    </xf>
    <xf numFmtId="10" fontId="10" fillId="0" borderId="6" xfId="0" applyNumberFormat="1" applyFont="1" applyFill="1" applyBorder="1" applyAlignment="1">
      <alignment horizontal="center" vertical="center" wrapText="1"/>
    </xf>
    <xf numFmtId="0" fontId="9" fillId="0" borderId="5" xfId="0" applyFont="1" applyFill="1" applyBorder="1" applyAlignment="1">
      <alignment horizontal="center" vertical="center" wrapText="1"/>
    </xf>
    <xf numFmtId="0" fontId="9" fillId="0" borderId="7" xfId="0" applyFont="1" applyFill="1" applyBorder="1" applyAlignment="1">
      <alignment horizontal="center" vertical="center"/>
    </xf>
    <xf numFmtId="0" fontId="11" fillId="0" borderId="7" xfId="0" applyFont="1" applyFill="1" applyBorder="1" applyAlignment="1">
      <alignment horizontal="center" vertical="center"/>
    </xf>
    <xf numFmtId="10" fontId="10" fillId="0" borderId="8" xfId="0" applyNumberFormat="1" applyFont="1" applyFill="1" applyBorder="1" applyAlignment="1">
      <alignment horizontal="center" vertical="center" wrapText="1"/>
    </xf>
    <xf numFmtId="0" fontId="9" fillId="0" borderId="7" xfId="0" applyFont="1" applyFill="1" applyBorder="1" applyAlignment="1">
      <alignment horizontal="center" vertical="center" wrapText="1"/>
    </xf>
    <xf numFmtId="0" fontId="9" fillId="0" borderId="9" xfId="0" applyFont="1" applyFill="1" applyBorder="1" applyAlignment="1">
      <alignment horizontal="center" vertical="center"/>
    </xf>
    <xf numFmtId="0" fontId="11" fillId="0" borderId="9" xfId="0" applyFont="1" applyFill="1" applyBorder="1" applyAlignment="1">
      <alignment horizontal="center" vertical="center"/>
    </xf>
    <xf numFmtId="10" fontId="10" fillId="0" borderId="2" xfId="0" applyNumberFormat="1" applyFont="1" applyFill="1" applyBorder="1" applyAlignment="1">
      <alignment horizontal="center" vertical="center" wrapText="1"/>
    </xf>
    <xf numFmtId="0" fontId="9" fillId="0" borderId="9" xfId="0" applyFont="1" applyFill="1" applyBorder="1" applyAlignment="1">
      <alignment horizontal="center" vertical="center" wrapText="1"/>
    </xf>
    <xf numFmtId="10" fontId="9" fillId="0" borderId="5" xfId="0" applyNumberFormat="1" applyFont="1" applyFill="1" applyBorder="1" applyAlignment="1">
      <alignment horizontal="center" vertical="center"/>
    </xf>
    <xf numFmtId="10" fontId="9" fillId="0" borderId="7" xfId="0" applyNumberFormat="1" applyFont="1" applyFill="1" applyBorder="1" applyAlignment="1">
      <alignment horizontal="center" vertical="center"/>
    </xf>
    <xf numFmtId="10" fontId="9" fillId="0" borderId="9" xfId="0" applyNumberFormat="1" applyFont="1" applyFill="1" applyBorder="1" applyAlignment="1">
      <alignment horizontal="center" vertical="center"/>
    </xf>
    <xf numFmtId="0" fontId="11" fillId="0" borderId="3" xfId="0" applyFont="1" applyFill="1" applyBorder="1" applyAlignment="1">
      <alignment horizontal="center" vertical="center"/>
    </xf>
    <xf numFmtId="10" fontId="10" fillId="0" borderId="3" xfId="0" applyNumberFormat="1" applyFont="1" applyFill="1" applyBorder="1" applyAlignment="1">
      <alignment horizontal="center" vertical="center" wrapText="1"/>
    </xf>
    <xf numFmtId="0" fontId="8" fillId="0" borderId="9" xfId="0" applyFont="1" applyFill="1" applyBorder="1" applyAlignment="1">
      <alignment horizontal="center" vertical="center" wrapText="1"/>
    </xf>
    <xf numFmtId="0" fontId="9" fillId="0" borderId="10" xfId="0" applyFont="1" applyFill="1" applyBorder="1" applyAlignment="1">
      <alignment horizontal="center" vertical="center"/>
    </xf>
    <xf numFmtId="10" fontId="0" fillId="0" borderId="3" xfId="0" applyNumberFormat="1" applyFill="1" applyBorder="1" applyAlignment="1">
      <alignment horizontal="center" vertical="center"/>
    </xf>
    <xf numFmtId="0" fontId="0" fillId="0" borderId="11" xfId="0" applyFill="1" applyBorder="1">
      <alignment vertical="center"/>
    </xf>
    <xf numFmtId="0" fontId="0" fillId="0" borderId="3" xfId="0" applyFill="1" applyBorder="1">
      <alignment vertical="center"/>
    </xf>
    <xf numFmtId="0" fontId="12" fillId="0" borderId="3" xfId="0" applyFont="1" applyFill="1" applyBorder="1" applyAlignment="1">
      <alignment horizontal="center" vertical="center"/>
    </xf>
    <xf numFmtId="0" fontId="9" fillId="0" borderId="5" xfId="0" applyNumberFormat="1" applyFont="1" applyFill="1" applyBorder="1" applyAlignment="1">
      <alignment horizontal="center" vertical="center" wrapText="1"/>
    </xf>
    <xf numFmtId="0" fontId="9" fillId="0" borderId="12" xfId="0" applyFont="1" applyFill="1" applyBorder="1" applyAlignment="1">
      <alignment horizontal="center" vertical="center"/>
    </xf>
    <xf numFmtId="10" fontId="0" fillId="0" borderId="5" xfId="0" applyNumberFormat="1" applyFill="1" applyBorder="1" applyAlignment="1">
      <alignment horizontal="center" vertical="center"/>
    </xf>
    <xf numFmtId="0" fontId="0" fillId="0" borderId="13" xfId="0" applyFill="1" applyBorder="1">
      <alignment vertical="center"/>
    </xf>
    <xf numFmtId="0" fontId="0" fillId="0" borderId="5" xfId="0" applyFill="1" applyBorder="1">
      <alignment vertical="center"/>
    </xf>
    <xf numFmtId="0" fontId="9" fillId="0" borderId="3" xfId="0" applyNumberFormat="1" applyFont="1" applyFill="1" applyBorder="1" applyAlignment="1">
      <alignment horizontal="center" vertical="center" wrapText="1"/>
    </xf>
    <xf numFmtId="0" fontId="0" fillId="0" borderId="3" xfId="0" applyFill="1" applyBorder="1" applyAlignment="1">
      <alignment horizontal="center" vertical="center"/>
    </xf>
    <xf numFmtId="0" fontId="9" fillId="0" borderId="7" xfId="0" applyNumberFormat="1" applyFont="1" applyFill="1" applyBorder="1" applyAlignment="1">
      <alignment horizontal="center" vertical="center" wrapText="1"/>
    </xf>
    <xf numFmtId="0" fontId="9" fillId="0" borderId="1" xfId="0" applyFont="1" applyFill="1" applyBorder="1" applyAlignment="1">
      <alignment horizontal="center" vertical="center"/>
    </xf>
    <xf numFmtId="10" fontId="0" fillId="0" borderId="7" xfId="0" applyNumberFormat="1" applyFill="1" applyBorder="1" applyAlignment="1">
      <alignment horizontal="center" vertical="center"/>
    </xf>
    <xf numFmtId="0" fontId="12" fillId="0" borderId="9" xfId="0" applyFont="1" applyFill="1" applyBorder="1" applyAlignment="1">
      <alignment horizontal="center" vertical="center"/>
    </xf>
    <xf numFmtId="176" fontId="12" fillId="0" borderId="3" xfId="0" applyNumberFormat="1" applyFont="1" applyFill="1" applyBorder="1" applyAlignment="1">
      <alignment horizontal="center" vertical="center"/>
    </xf>
    <xf numFmtId="0" fontId="9" fillId="0" borderId="14" xfId="0" applyFont="1" applyFill="1" applyBorder="1" applyAlignment="1">
      <alignment horizontal="center" vertical="center"/>
    </xf>
    <xf numFmtId="10" fontId="0" fillId="0" borderId="9" xfId="0" applyNumberFormat="1" applyFill="1" applyBorder="1" applyAlignment="1">
      <alignment horizontal="center" vertical="center"/>
    </xf>
    <xf numFmtId="0" fontId="9" fillId="0" borderId="5" xfId="0" applyNumberFormat="1" applyFont="1" applyFill="1" applyBorder="1" applyAlignment="1">
      <alignment horizontal="center" vertical="center"/>
    </xf>
    <xf numFmtId="0" fontId="9" fillId="0" borderId="7" xfId="0" applyNumberFormat="1" applyFont="1" applyFill="1" applyBorder="1" applyAlignment="1">
      <alignment horizontal="center" vertical="center"/>
    </xf>
    <xf numFmtId="0" fontId="9" fillId="0" borderId="9" xfId="0" applyNumberFormat="1" applyFont="1" applyFill="1" applyBorder="1" applyAlignment="1">
      <alignment horizontal="center" vertical="center"/>
    </xf>
    <xf numFmtId="0" fontId="12" fillId="0" borderId="3" xfId="0" applyFont="1" applyFill="1" applyBorder="1" applyAlignment="1">
      <alignment horizontal="center" vertical="center" wrapText="1"/>
    </xf>
    <xf numFmtId="0" fontId="9" fillId="0" borderId="3" xfId="0" applyNumberFormat="1" applyFont="1" applyFill="1" applyBorder="1" applyAlignment="1">
      <alignment horizontal="center" vertical="center"/>
    </xf>
    <xf numFmtId="176" fontId="9" fillId="0" borderId="3" xfId="0" applyNumberFormat="1" applyFont="1" applyFill="1" applyBorder="1" applyAlignment="1">
      <alignment horizontal="center" vertical="center"/>
    </xf>
    <xf numFmtId="0" fontId="0" fillId="0" borderId="9" xfId="0" applyFill="1" applyBorder="1">
      <alignment vertical="center"/>
    </xf>
    <xf numFmtId="0" fontId="0" fillId="0" borderId="5" xfId="0" applyFill="1" applyBorder="1" applyAlignment="1">
      <alignment horizontal="center" vertical="center"/>
    </xf>
    <xf numFmtId="0" fontId="0" fillId="0" borderId="7" xfId="0" applyFill="1" applyBorder="1" applyAlignment="1">
      <alignment horizontal="center" vertical="center"/>
    </xf>
    <xf numFmtId="0" fontId="0" fillId="0" borderId="9" xfId="0" applyFill="1" applyBorder="1" applyAlignment="1">
      <alignment horizontal="center" vertical="center"/>
    </xf>
    <xf numFmtId="0" fontId="12" fillId="0" borderId="5" xfId="0" applyFont="1" applyFill="1" applyBorder="1" applyAlignment="1">
      <alignment horizontal="center" vertical="center"/>
    </xf>
    <xf numFmtId="0" fontId="12" fillId="0" borderId="7" xfId="0" applyFont="1" applyFill="1" applyBorder="1" applyAlignment="1">
      <alignment horizontal="center" vertical="center"/>
    </xf>
    <xf numFmtId="0" fontId="13" fillId="0" borderId="7" xfId="0" applyFont="1" applyFill="1" applyBorder="1" applyAlignment="1">
      <alignment horizontal="center" vertical="center"/>
    </xf>
    <xf numFmtId="0" fontId="13" fillId="0" borderId="7" xfId="0" applyFont="1" applyFill="1" applyBorder="1" applyAlignment="1">
      <alignment horizontal="center" vertical="center" wrapText="1"/>
    </xf>
    <xf numFmtId="0" fontId="13" fillId="0" borderId="9" xfId="0" applyFont="1" applyFill="1" applyBorder="1" applyAlignment="1">
      <alignment horizontal="center" vertical="center"/>
    </xf>
    <xf numFmtId="0" fontId="13" fillId="0" borderId="9" xfId="0" applyFont="1" applyFill="1" applyBorder="1" applyAlignment="1">
      <alignment horizontal="center" vertical="center" wrapText="1"/>
    </xf>
    <xf numFmtId="0" fontId="13" fillId="0" borderId="3" xfId="0" applyFont="1" applyFill="1" applyBorder="1" applyAlignment="1">
      <alignment horizontal="center" vertical="center"/>
    </xf>
    <xf numFmtId="0" fontId="14" fillId="0" borderId="6" xfId="0" applyFont="1" applyFill="1" applyBorder="1" applyAlignment="1">
      <alignment horizontal="center" vertical="center" wrapText="1"/>
    </xf>
    <xf numFmtId="0" fontId="13" fillId="0" borderId="6" xfId="0" applyFont="1" applyFill="1" applyBorder="1" applyAlignment="1">
      <alignment horizontal="center" vertical="center" wrapText="1"/>
    </xf>
    <xf numFmtId="0" fontId="14" fillId="0" borderId="15" xfId="0" applyFont="1" applyFill="1" applyBorder="1" applyAlignment="1">
      <alignment horizontal="center" vertical="center" wrapText="1"/>
    </xf>
    <xf numFmtId="10" fontId="13" fillId="0" borderId="6" xfId="0" applyNumberFormat="1" applyFont="1" applyFill="1" applyBorder="1" applyAlignment="1">
      <alignment horizontal="center" vertical="center" wrapText="1"/>
    </xf>
    <xf numFmtId="0" fontId="15" fillId="0" borderId="5" xfId="0" applyFont="1" applyFill="1" applyBorder="1" applyAlignment="1">
      <alignment horizontal="center" vertical="center" wrapText="1"/>
    </xf>
    <xf numFmtId="0" fontId="13" fillId="0" borderId="3" xfId="0" applyFont="1" applyFill="1" applyBorder="1" applyAlignment="1">
      <alignment horizontal="center" vertical="center" wrapText="1"/>
    </xf>
    <xf numFmtId="10" fontId="13" fillId="0" borderId="3" xfId="0" applyNumberFormat="1" applyFont="1" applyFill="1" applyBorder="1" applyAlignment="1">
      <alignment horizontal="center" vertical="center" wrapText="1"/>
    </xf>
    <xf numFmtId="0" fontId="15" fillId="0" borderId="3" xfId="0" applyFont="1" applyFill="1" applyBorder="1" applyAlignment="1">
      <alignment horizontal="center" vertical="center" wrapText="1"/>
    </xf>
    <xf numFmtId="0" fontId="13" fillId="0" borderId="3" xfId="0" applyNumberFormat="1" applyFont="1" applyFill="1" applyBorder="1" applyAlignment="1" applyProtection="1">
      <alignment horizontal="center" vertical="center" wrapText="1"/>
    </xf>
    <xf numFmtId="0" fontId="14" fillId="0" borderId="3" xfId="0" applyFont="1" applyFill="1" applyBorder="1" applyAlignment="1">
      <alignment horizontal="center" vertical="center" wrapText="1"/>
    </xf>
    <xf numFmtId="0" fontId="16" fillId="0" borderId="3"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7" fillId="0" borderId="3" xfId="0" applyFont="1" applyFill="1" applyBorder="1" applyAlignment="1">
      <alignment horizontal="center" vertical="center" wrapText="1"/>
    </xf>
    <xf numFmtId="10" fontId="4" fillId="0" borderId="7" xfId="0" applyNumberFormat="1" applyFont="1" applyFill="1" applyBorder="1" applyAlignment="1">
      <alignment horizontal="center" vertical="center"/>
    </xf>
    <xf numFmtId="0" fontId="17" fillId="0" borderId="11" xfId="0" applyFont="1" applyFill="1" applyBorder="1" applyAlignment="1">
      <alignment horizontal="center" vertical="center"/>
    </xf>
    <xf numFmtId="0" fontId="17" fillId="0" borderId="3" xfId="0" applyFont="1" applyFill="1" applyBorder="1" applyAlignment="1">
      <alignment horizontal="center" vertical="center"/>
    </xf>
    <xf numFmtId="10" fontId="4" fillId="0" borderId="9" xfId="0" applyNumberFormat="1" applyFont="1" applyFill="1" applyBorder="1" applyAlignment="1">
      <alignment horizontal="center" vertical="center"/>
    </xf>
    <xf numFmtId="0" fontId="4" fillId="0" borderId="3" xfId="0" applyFont="1" applyFill="1" applyBorder="1" applyAlignment="1">
      <alignment horizontal="center" vertical="center"/>
    </xf>
    <xf numFmtId="0" fontId="13" fillId="0" borderId="5" xfId="0" applyFont="1" applyFill="1" applyBorder="1" applyAlignment="1">
      <alignment horizontal="left" vertical="center" wrapText="1"/>
    </xf>
    <xf numFmtId="0" fontId="14" fillId="0" borderId="5" xfId="0" applyFont="1" applyFill="1" applyBorder="1" applyAlignment="1">
      <alignment horizontal="center" vertical="center" wrapText="1"/>
    </xf>
    <xf numFmtId="10" fontId="2" fillId="0" borderId="5" xfId="0" applyNumberFormat="1" applyFont="1" applyFill="1" applyBorder="1" applyAlignment="1">
      <alignment horizontal="center" vertical="center"/>
    </xf>
    <xf numFmtId="0" fontId="2" fillId="0" borderId="11" xfId="0" applyFont="1" applyFill="1" applyBorder="1" applyAlignment="1">
      <alignment vertical="center"/>
    </xf>
    <xf numFmtId="0" fontId="2" fillId="0" borderId="3" xfId="0" applyFont="1" applyFill="1" applyBorder="1" applyAlignment="1">
      <alignment vertical="center"/>
    </xf>
    <xf numFmtId="0" fontId="13" fillId="0" borderId="3" xfId="0" applyFont="1" applyFill="1" applyBorder="1" applyAlignment="1">
      <alignment horizontal="left" vertical="center" wrapText="1"/>
    </xf>
    <xf numFmtId="0" fontId="13" fillId="0" borderId="16" xfId="0" applyFont="1" applyFill="1" applyBorder="1" applyAlignment="1">
      <alignment horizontal="center" vertical="center" wrapText="1"/>
    </xf>
    <xf numFmtId="10" fontId="15" fillId="0" borderId="3" xfId="0" applyNumberFormat="1" applyFont="1" applyFill="1" applyBorder="1" applyAlignment="1">
      <alignment horizontal="center" vertical="center"/>
    </xf>
    <xf numFmtId="0" fontId="13" fillId="0" borderId="3" xfId="0" applyNumberFormat="1" applyFont="1" applyFill="1" applyBorder="1" applyAlignment="1" applyProtection="1">
      <alignment horizontal="left" vertical="center" wrapText="1"/>
    </xf>
    <xf numFmtId="0" fontId="18" fillId="0" borderId="3" xfId="0" applyFont="1" applyFill="1" applyBorder="1" applyAlignment="1">
      <alignment horizontal="center" vertical="center" wrapText="1"/>
    </xf>
    <xf numFmtId="0" fontId="2" fillId="0" borderId="11" xfId="0" applyFont="1" applyFill="1" applyBorder="1" applyAlignment="1">
      <alignment vertical="center" wrapText="1"/>
    </xf>
    <xf numFmtId="0" fontId="19" fillId="0" borderId="3" xfId="0" applyFont="1" applyFill="1" applyBorder="1" applyAlignment="1">
      <alignment horizontal="center" vertical="center" wrapText="1"/>
    </xf>
    <xf numFmtId="176" fontId="19" fillId="0" borderId="3" xfId="0" applyNumberFormat="1" applyFont="1" applyFill="1" applyBorder="1" applyAlignment="1">
      <alignment horizontal="center" vertical="center" wrapText="1"/>
    </xf>
    <xf numFmtId="10" fontId="12" fillId="0" borderId="3" xfId="0" applyNumberFormat="1" applyFont="1" applyFill="1" applyBorder="1" applyAlignment="1">
      <alignment horizontal="center" vertical="center"/>
    </xf>
    <xf numFmtId="176" fontId="0" fillId="0" borderId="3" xfId="0" applyNumberFormat="1" applyFill="1" applyBorder="1" applyAlignment="1">
      <alignment horizontal="center" vertical="center"/>
    </xf>
    <xf numFmtId="0" fontId="4" fillId="0" borderId="7" xfId="0" applyFont="1" applyFill="1" applyBorder="1" applyAlignment="1">
      <alignment horizontal="center" vertical="center"/>
    </xf>
    <xf numFmtId="0" fontId="4" fillId="0" borderId="9" xfId="0" applyFont="1" applyFill="1" applyBorder="1" applyAlignment="1">
      <alignment horizontal="center" vertical="center"/>
    </xf>
    <xf numFmtId="0" fontId="2" fillId="0" borderId="3" xfId="0" applyFont="1" applyFill="1" applyBorder="1" applyAlignment="1">
      <alignment horizontal="center" vertical="center"/>
    </xf>
    <xf numFmtId="0" fontId="10" fillId="0" borderId="5" xfId="0" applyFont="1" applyFill="1" applyBorder="1" applyAlignment="1">
      <alignment horizontal="center" vertical="center" wrapText="1"/>
    </xf>
    <xf numFmtId="10" fontId="10" fillId="0" borderId="5" xfId="0" applyNumberFormat="1" applyFont="1" applyFill="1" applyBorder="1" applyAlignment="1">
      <alignment horizontal="center" vertical="center" wrapText="1"/>
    </xf>
    <xf numFmtId="0" fontId="17" fillId="0" borderId="5" xfId="0" applyFont="1" applyFill="1" applyBorder="1" applyAlignment="1">
      <alignment horizontal="center" vertical="center" wrapText="1"/>
    </xf>
    <xf numFmtId="0" fontId="10" fillId="0" borderId="9" xfId="0" applyFont="1" applyFill="1" applyBorder="1" applyAlignment="1">
      <alignment horizontal="center" vertical="center" wrapText="1"/>
    </xf>
    <xf numFmtId="10" fontId="10" fillId="0" borderId="9" xfId="0" applyNumberFormat="1" applyFont="1" applyFill="1" applyBorder="1" applyAlignment="1">
      <alignment horizontal="center" vertical="center" wrapText="1"/>
    </xf>
    <xf numFmtId="0" fontId="17" fillId="0" borderId="9" xfId="0" applyFont="1" applyFill="1" applyBorder="1" applyAlignment="1">
      <alignment horizontal="center" vertical="center" wrapText="1"/>
    </xf>
    <xf numFmtId="10" fontId="19" fillId="0" borderId="3" xfId="0" applyNumberFormat="1" applyFont="1" applyFill="1" applyBorder="1" applyAlignment="1">
      <alignment horizontal="center" vertical="center" wrapText="1"/>
    </xf>
    <xf numFmtId="0" fontId="20" fillId="0" borderId="3" xfId="0" applyFont="1" applyFill="1" applyBorder="1" applyAlignment="1">
      <alignment horizontal="center" vertical="center" wrapText="1"/>
    </xf>
    <xf numFmtId="0" fontId="20" fillId="0" borderId="3" xfId="0" applyFont="1" applyFill="1" applyBorder="1" applyAlignment="1">
      <alignment horizontal="left" vertical="center" wrapText="1"/>
    </xf>
    <xf numFmtId="176" fontId="0" fillId="0" borderId="5" xfId="0" applyNumberFormat="1" applyFill="1" applyBorder="1" applyAlignment="1">
      <alignment horizontal="center" vertical="center"/>
    </xf>
    <xf numFmtId="176" fontId="0" fillId="0" borderId="9" xfId="0" applyNumberFormat="1" applyFill="1" applyBorder="1" applyAlignment="1">
      <alignment horizontal="center" vertical="center"/>
    </xf>
    <xf numFmtId="176" fontId="0" fillId="0" borderId="3" xfId="0" applyNumberFormat="1" applyFill="1" applyBorder="1" applyAlignment="1">
      <alignment horizontal="center" vertical="center" wrapText="1"/>
    </xf>
    <xf numFmtId="176" fontId="14" fillId="0" borderId="3" xfId="0" applyNumberFormat="1" applyFont="1" applyFill="1" applyBorder="1" applyAlignment="1">
      <alignment horizontal="center" vertical="center" wrapText="1"/>
    </xf>
    <xf numFmtId="177" fontId="19" fillId="0" borderId="3" xfId="0" applyNumberFormat="1" applyFont="1" applyFill="1" applyBorder="1" applyAlignment="1">
      <alignment horizontal="center" vertical="center" wrapText="1"/>
    </xf>
    <xf numFmtId="0" fontId="0" fillId="0" borderId="3" xfId="0" applyFont="1" applyFill="1" applyBorder="1">
      <alignment vertical="center"/>
    </xf>
    <xf numFmtId="0" fontId="19" fillId="0" borderId="3" xfId="0" applyFont="1" applyFill="1" applyBorder="1" applyAlignment="1">
      <alignment horizontal="left" vertical="center" wrapText="1"/>
    </xf>
    <xf numFmtId="0" fontId="12" fillId="0" borderId="3" xfId="0" applyFont="1" applyFill="1" applyBorder="1" applyAlignment="1">
      <alignment horizontal="left" vertical="center" wrapText="1"/>
    </xf>
    <xf numFmtId="10" fontId="0" fillId="0" borderId="0" xfId="0" applyNumberFormat="1" applyFill="1">
      <alignment vertical="center"/>
    </xf>
    <xf numFmtId="0" fontId="0" fillId="0" borderId="3" xfId="0" applyFont="1" applyFill="1" applyBorder="1" applyAlignment="1">
      <alignment horizontal="center" vertical="center"/>
    </xf>
    <xf numFmtId="0" fontId="12" fillId="0" borderId="5" xfId="0" applyFont="1" applyFill="1" applyBorder="1" applyAlignment="1">
      <alignment horizontal="center" vertical="center" wrapText="1"/>
    </xf>
    <xf numFmtId="0" fontId="19" fillId="0" borderId="5" xfId="0" applyFont="1" applyFill="1" applyBorder="1" applyAlignment="1">
      <alignment horizontal="center" vertical="center" wrapText="1"/>
    </xf>
    <xf numFmtId="0" fontId="12" fillId="0" borderId="5" xfId="0" applyNumberFormat="1" applyFont="1" applyFill="1" applyBorder="1" applyAlignment="1">
      <alignment horizontal="center" vertical="center" wrapText="1"/>
    </xf>
    <xf numFmtId="10" fontId="12" fillId="0" borderId="5" xfId="0" applyNumberFormat="1" applyFont="1" applyFill="1" applyBorder="1" applyAlignment="1">
      <alignment horizontal="center" vertical="center" wrapText="1"/>
    </xf>
    <xf numFmtId="0" fontId="12" fillId="0" borderId="7" xfId="0" applyFont="1" applyFill="1" applyBorder="1" applyAlignment="1">
      <alignment horizontal="center" vertical="center" wrapText="1"/>
    </xf>
    <xf numFmtId="0" fontId="19" fillId="0" borderId="7" xfId="0" applyFont="1" applyFill="1" applyBorder="1" applyAlignment="1">
      <alignment horizontal="center" vertical="center" wrapText="1"/>
    </xf>
    <xf numFmtId="0" fontId="12" fillId="0" borderId="7" xfId="0" applyNumberFormat="1" applyFont="1" applyFill="1" applyBorder="1" applyAlignment="1">
      <alignment horizontal="center" vertical="center" wrapText="1"/>
    </xf>
    <xf numFmtId="10" fontId="12" fillId="0" borderId="7" xfId="0" applyNumberFormat="1" applyFont="1" applyFill="1" applyBorder="1" applyAlignment="1">
      <alignment horizontal="center" vertical="center" wrapText="1"/>
    </xf>
    <xf numFmtId="0" fontId="12" fillId="0" borderId="9" xfId="0" applyFont="1" applyFill="1" applyBorder="1" applyAlignment="1">
      <alignment horizontal="center" vertical="center" wrapText="1"/>
    </xf>
    <xf numFmtId="0" fontId="19" fillId="0" borderId="9" xfId="0" applyFont="1" applyFill="1" applyBorder="1" applyAlignment="1">
      <alignment horizontal="center" vertical="center" wrapText="1"/>
    </xf>
    <xf numFmtId="0" fontId="12" fillId="0" borderId="9" xfId="0" applyNumberFormat="1" applyFont="1" applyFill="1" applyBorder="1" applyAlignment="1">
      <alignment horizontal="center" vertical="center" wrapText="1"/>
    </xf>
    <xf numFmtId="10" fontId="12" fillId="0" borderId="9" xfId="0" applyNumberFormat="1" applyFont="1" applyFill="1" applyBorder="1" applyAlignment="1">
      <alignment horizontal="center" vertical="center" wrapText="1"/>
    </xf>
    <xf numFmtId="10" fontId="12" fillId="0" borderId="3" xfId="0" applyNumberFormat="1" applyFont="1" applyFill="1" applyBorder="1" applyAlignment="1">
      <alignment horizontal="center" vertical="center" wrapText="1"/>
    </xf>
    <xf numFmtId="0" fontId="12" fillId="0" borderId="3" xfId="0" applyNumberFormat="1" applyFont="1" applyFill="1" applyBorder="1" applyAlignment="1">
      <alignment horizontal="center" vertical="center" wrapText="1"/>
    </xf>
    <xf numFmtId="177" fontId="12" fillId="0" borderId="5" xfId="0" applyNumberFormat="1" applyFont="1" applyFill="1" applyBorder="1" applyAlignment="1">
      <alignment horizontal="center" vertical="center" wrapText="1"/>
    </xf>
    <xf numFmtId="178" fontId="12" fillId="0" borderId="5" xfId="0" applyNumberFormat="1" applyFont="1" applyFill="1" applyBorder="1" applyAlignment="1">
      <alignment horizontal="center" vertical="center" wrapText="1"/>
    </xf>
    <xf numFmtId="10" fontId="0" fillId="0" borderId="3" xfId="0" applyNumberFormat="1" applyFont="1" applyFill="1" applyBorder="1">
      <alignment vertical="center"/>
    </xf>
    <xf numFmtId="177" fontId="0" fillId="0" borderId="3" xfId="0" applyNumberFormat="1" applyFont="1" applyFill="1" applyBorder="1" applyAlignment="1">
      <alignment horizontal="center" vertical="center"/>
    </xf>
    <xf numFmtId="0" fontId="0" fillId="0" borderId="3" xfId="0" applyNumberFormat="1" applyFont="1" applyFill="1" applyBorder="1" applyAlignment="1">
      <alignment horizontal="center" vertical="center"/>
    </xf>
    <xf numFmtId="177" fontId="12" fillId="0" borderId="7" xfId="0" applyNumberFormat="1" applyFont="1" applyFill="1" applyBorder="1" applyAlignment="1">
      <alignment horizontal="center" vertical="center" wrapText="1"/>
    </xf>
    <xf numFmtId="178" fontId="12" fillId="0" borderId="7" xfId="0" applyNumberFormat="1" applyFont="1" applyFill="1" applyBorder="1" applyAlignment="1">
      <alignment horizontal="center" vertical="center" wrapText="1"/>
    </xf>
    <xf numFmtId="177" fontId="12" fillId="0" borderId="9" xfId="0" applyNumberFormat="1" applyFont="1" applyFill="1" applyBorder="1" applyAlignment="1">
      <alignment horizontal="center" vertical="center" wrapText="1"/>
    </xf>
    <xf numFmtId="178" fontId="12" fillId="0" borderId="9" xfId="0" applyNumberFormat="1" applyFont="1" applyFill="1" applyBorder="1" applyAlignment="1">
      <alignment horizontal="center" vertical="center" wrapText="1"/>
    </xf>
    <xf numFmtId="177" fontId="12" fillId="0" borderId="3" xfId="0" applyNumberFormat="1" applyFont="1" applyFill="1" applyBorder="1" applyAlignment="1">
      <alignment horizontal="center" vertical="center" wrapText="1"/>
    </xf>
    <xf numFmtId="178" fontId="12" fillId="0" borderId="3" xfId="0" applyNumberFormat="1" applyFont="1" applyFill="1" applyBorder="1" applyAlignment="1">
      <alignment horizontal="center" vertical="center" wrapText="1"/>
    </xf>
    <xf numFmtId="178" fontId="12" fillId="0" borderId="3" xfId="0" applyNumberFormat="1" applyFont="1" applyFill="1" applyBorder="1" applyAlignment="1">
      <alignment horizontal="center" vertical="center"/>
    </xf>
    <xf numFmtId="0" fontId="0" fillId="0" borderId="3" xfId="0" applyNumberFormat="1" applyFont="1" applyFill="1" applyBorder="1">
      <alignment vertical="center"/>
    </xf>
    <xf numFmtId="0" fontId="21" fillId="0" borderId="3" xfId="0" applyFont="1" applyFill="1" applyBorder="1" applyAlignment="1"/>
    <xf numFmtId="0" fontId="0" fillId="0" borderId="5" xfId="0" applyFont="1" applyFill="1" applyBorder="1" applyAlignment="1">
      <alignment horizontal="center" vertical="center"/>
    </xf>
    <xf numFmtId="0" fontId="0" fillId="0" borderId="7" xfId="0" applyFont="1" applyFill="1" applyBorder="1" applyAlignment="1">
      <alignment horizontal="center" vertical="center"/>
    </xf>
    <xf numFmtId="0" fontId="0" fillId="0" borderId="9" xfId="0" applyFont="1" applyFill="1" applyBorder="1" applyAlignment="1">
      <alignment horizontal="center" vertical="center"/>
    </xf>
    <xf numFmtId="0" fontId="16" fillId="0" borderId="4" xfId="0" applyFont="1" applyFill="1" applyBorder="1" applyAlignment="1">
      <alignment horizontal="center" vertical="center" wrapText="1"/>
    </xf>
    <xf numFmtId="177" fontId="0" fillId="0" borderId="3" xfId="0" applyNumberFormat="1" applyFont="1" applyFill="1" applyBorder="1">
      <alignment vertical="center"/>
    </xf>
    <xf numFmtId="0" fontId="21" fillId="0" borderId="3" xfId="0" applyNumberFormat="1" applyFont="1" applyFill="1" applyBorder="1" applyAlignment="1"/>
    <xf numFmtId="0" fontId="16" fillId="0" borderId="16" xfId="0" applyFont="1" applyFill="1" applyBorder="1" applyAlignment="1">
      <alignment horizontal="center" vertical="center" wrapText="1"/>
    </xf>
    <xf numFmtId="0" fontId="0" fillId="0" borderId="17" xfId="0" applyFill="1" applyBorder="1" applyAlignment="1">
      <alignment vertical="center" wrapText="1"/>
    </xf>
    <xf numFmtId="0" fontId="0" fillId="0" borderId="9" xfId="0" applyFill="1" applyBorder="1" applyAlignment="1">
      <alignment horizontal="center" vertical="center" wrapText="1"/>
    </xf>
    <xf numFmtId="0" fontId="0" fillId="0" borderId="9" xfId="0" applyFill="1" applyBorder="1" applyAlignment="1">
      <alignment vertical="center" wrapText="1"/>
    </xf>
    <xf numFmtId="0" fontId="0" fillId="0" borderId="11" xfId="0" applyFill="1" applyBorder="1" applyAlignment="1">
      <alignment vertical="center"/>
    </xf>
    <xf numFmtId="0" fontId="0" fillId="0" borderId="3" xfId="0" applyFill="1" applyBorder="1" applyAlignment="1">
      <alignment vertical="center"/>
    </xf>
    <xf numFmtId="0" fontId="0" fillId="0" borderId="11" xfId="0" applyFill="1" applyBorder="1" applyAlignment="1">
      <alignment vertical="center" wrapText="1"/>
    </xf>
    <xf numFmtId="0" fontId="0" fillId="0" borderId="3" xfId="0" applyFill="1" applyBorder="1" applyAlignment="1">
      <alignment vertical="center" wrapText="1"/>
    </xf>
    <xf numFmtId="0" fontId="0" fillId="0" borderId="9" xfId="0" applyFill="1" applyBorder="1" applyAlignment="1">
      <alignment vertical="center"/>
    </xf>
    <xf numFmtId="0" fontId="22" fillId="0" borderId="4" xfId="0" applyFont="1" applyFill="1" applyBorder="1" applyAlignment="1">
      <alignment horizontal="center" vertical="center" wrapText="1"/>
    </xf>
    <xf numFmtId="10" fontId="23" fillId="0" borderId="4" xfId="0" applyNumberFormat="1" applyFont="1" applyFill="1" applyBorder="1" applyAlignment="1">
      <alignment horizontal="center" vertical="center" wrapText="1"/>
    </xf>
    <xf numFmtId="0" fontId="24" fillId="0" borderId="6" xfId="0" applyFont="1" applyFill="1" applyBorder="1" applyAlignment="1">
      <alignment horizontal="center" vertical="center" wrapText="1"/>
    </xf>
    <xf numFmtId="10" fontId="10" fillId="0" borderId="7" xfId="0" applyNumberFormat="1" applyFont="1" applyFill="1" applyBorder="1" applyAlignment="1">
      <alignment horizontal="center" vertical="center" wrapText="1"/>
    </xf>
    <xf numFmtId="0" fontId="24" fillId="0" borderId="8" xfId="0" applyFont="1" applyFill="1" applyBorder="1" applyAlignment="1">
      <alignment horizontal="center" vertical="center" wrapText="1"/>
    </xf>
    <xf numFmtId="0" fontId="24" fillId="0" borderId="2" xfId="0" applyFont="1" applyFill="1" applyBorder="1" applyAlignment="1">
      <alignment horizontal="center" vertical="center" wrapText="1"/>
    </xf>
    <xf numFmtId="0" fontId="24" fillId="0" borderId="4" xfId="0" applyFont="1" applyFill="1" applyBorder="1" applyAlignment="1">
      <alignment horizontal="justify" vertical="center" wrapText="1"/>
    </xf>
    <xf numFmtId="0" fontId="13" fillId="0" borderId="8" xfId="0" applyFont="1" applyFill="1" applyBorder="1" applyAlignment="1">
      <alignment horizontal="center" vertical="center" wrapText="1"/>
    </xf>
    <xf numFmtId="0" fontId="13" fillId="0" borderId="2" xfId="0" applyFont="1" applyFill="1" applyBorder="1" applyAlignment="1">
      <alignment horizontal="center" vertical="center" wrapText="1"/>
    </xf>
    <xf numFmtId="0" fontId="17" fillId="0" borderId="5" xfId="0" applyFont="1" applyFill="1" applyBorder="1" applyAlignment="1">
      <alignment horizontal="center" vertical="center"/>
    </xf>
    <xf numFmtId="0" fontId="17" fillId="0" borderId="7" xfId="0" applyFont="1" applyFill="1" applyBorder="1" applyAlignment="1">
      <alignment horizontal="center" vertical="center" wrapText="1"/>
    </xf>
    <xf numFmtId="0" fontId="10" fillId="0" borderId="7" xfId="0" applyFont="1" applyFill="1" applyBorder="1" applyAlignment="1">
      <alignment horizontal="center" vertical="center" wrapText="1"/>
    </xf>
    <xf numFmtId="0" fontId="17" fillId="0" borderId="7" xfId="0" applyFont="1" applyFill="1" applyBorder="1" applyAlignment="1">
      <alignment horizontal="center" vertical="center"/>
    </xf>
    <xf numFmtId="0" fontId="17" fillId="0" borderId="9" xfId="0" applyFont="1" applyFill="1" applyBorder="1" applyAlignment="1">
      <alignment horizontal="center" vertical="center"/>
    </xf>
    <xf numFmtId="0" fontId="13" fillId="0" borderId="4" xfId="0" applyFont="1" applyFill="1" applyBorder="1" applyAlignment="1">
      <alignment horizontal="justify" vertical="center" wrapText="1"/>
    </xf>
    <xf numFmtId="0" fontId="25" fillId="0" borderId="4" xfId="0" applyFont="1" applyFill="1" applyBorder="1" applyAlignment="1">
      <alignment horizontal="justify" vertical="center" wrapText="1"/>
    </xf>
    <xf numFmtId="0" fontId="26" fillId="0" borderId="6" xfId="0" applyFont="1" applyFill="1" applyBorder="1" applyAlignment="1">
      <alignment horizontal="center" vertical="center" wrapText="1"/>
    </xf>
    <xf numFmtId="0" fontId="26" fillId="0" borderId="8" xfId="0" applyFont="1" applyFill="1" applyBorder="1" applyAlignment="1">
      <alignment horizontal="center" vertical="center" wrapText="1"/>
    </xf>
    <xf numFmtId="0" fontId="26" fillId="0" borderId="2" xfId="0" applyFont="1" applyFill="1" applyBorder="1" applyAlignment="1">
      <alignment horizontal="center" vertical="center" wrapText="1"/>
    </xf>
    <xf numFmtId="0" fontId="24" fillId="0" borderId="3" xfId="0" applyFont="1" applyFill="1" applyBorder="1" applyAlignment="1">
      <alignment horizontal="center" vertical="center" wrapText="1"/>
    </xf>
    <xf numFmtId="0" fontId="22" fillId="0" borderId="16" xfId="0" applyFont="1" applyFill="1" applyBorder="1" applyAlignment="1">
      <alignment horizontal="center" vertical="center" wrapText="1"/>
    </xf>
    <xf numFmtId="10" fontId="3" fillId="0" borderId="3" xfId="0" applyNumberFormat="1" applyFont="1" applyFill="1" applyBorder="1" applyAlignment="1">
      <alignment horizontal="center" vertical="center"/>
    </xf>
    <xf numFmtId="0" fontId="3" fillId="0" borderId="11" xfId="0" applyFont="1" applyFill="1" applyBorder="1" applyAlignment="1">
      <alignment vertical="center"/>
    </xf>
    <xf numFmtId="0" fontId="3" fillId="0" borderId="3" xfId="0" applyFont="1" applyFill="1" applyBorder="1" applyAlignment="1">
      <alignment vertical="center"/>
    </xf>
    <xf numFmtId="0" fontId="23" fillId="0" borderId="5" xfId="0" applyFont="1" applyFill="1" applyBorder="1" applyAlignment="1">
      <alignment horizontal="justify" vertical="center" wrapText="1"/>
    </xf>
    <xf numFmtId="10" fontId="12" fillId="0" borderId="5" xfId="0" applyNumberFormat="1" applyFont="1" applyFill="1" applyBorder="1" applyAlignment="1">
      <alignment horizontal="center" vertical="center"/>
    </xf>
    <xf numFmtId="0" fontId="0" fillId="0" borderId="11" xfId="0" applyFill="1" applyBorder="1" applyAlignment="1">
      <alignment horizontal="center" vertical="center" wrapText="1"/>
    </xf>
    <xf numFmtId="0" fontId="23" fillId="0" borderId="7" xfId="0" applyFont="1" applyFill="1" applyBorder="1" applyAlignment="1">
      <alignment horizontal="justify" vertical="center" wrapText="1"/>
    </xf>
    <xf numFmtId="10" fontId="12" fillId="0" borderId="7" xfId="0" applyNumberFormat="1" applyFont="1" applyFill="1" applyBorder="1" applyAlignment="1">
      <alignment horizontal="center" vertical="center"/>
    </xf>
    <xf numFmtId="0" fontId="23" fillId="0" borderId="9" xfId="0" applyFont="1" applyFill="1" applyBorder="1" applyAlignment="1">
      <alignment horizontal="justify" vertical="center" wrapText="1"/>
    </xf>
    <xf numFmtId="10" fontId="12" fillId="0" borderId="9" xfId="0" applyNumberFormat="1" applyFont="1" applyFill="1" applyBorder="1" applyAlignment="1">
      <alignment horizontal="center" vertical="center"/>
    </xf>
    <xf numFmtId="0" fontId="23" fillId="0" borderId="3" xfId="0" applyFont="1" applyFill="1" applyBorder="1" applyAlignment="1">
      <alignment horizontal="justify" vertical="center" wrapText="1"/>
    </xf>
    <xf numFmtId="0" fontId="4" fillId="0" borderId="11" xfId="0" applyFont="1" applyFill="1" applyBorder="1" applyAlignment="1">
      <alignment horizontal="center" vertical="center" wrapText="1"/>
    </xf>
    <xf numFmtId="10" fontId="17" fillId="0" borderId="5" xfId="0" applyNumberFormat="1" applyFont="1" applyFill="1" applyBorder="1" applyAlignment="1">
      <alignment horizontal="center" vertical="center"/>
    </xf>
    <xf numFmtId="10" fontId="17" fillId="0" borderId="7" xfId="0" applyNumberFormat="1" applyFont="1" applyFill="1" applyBorder="1" applyAlignment="1">
      <alignment horizontal="center" vertical="center"/>
    </xf>
    <xf numFmtId="10" fontId="17" fillId="0" borderId="9" xfId="0" applyNumberFormat="1" applyFont="1" applyFill="1" applyBorder="1" applyAlignment="1">
      <alignment horizontal="center" vertical="center"/>
    </xf>
    <xf numFmtId="0" fontId="10" fillId="0" borderId="3" xfId="0" applyFont="1" applyFill="1" applyBorder="1" applyAlignment="1">
      <alignment horizontal="justify" vertical="center" wrapText="1"/>
    </xf>
    <xf numFmtId="0" fontId="19" fillId="0" borderId="12" xfId="0" applyFont="1" applyFill="1" applyBorder="1" applyAlignment="1">
      <alignment horizontal="center" vertical="center" wrapText="1"/>
    </xf>
    <xf numFmtId="0" fontId="19" fillId="0" borderId="13" xfId="0" applyFont="1" applyFill="1" applyBorder="1" applyAlignment="1">
      <alignment horizontal="center" vertical="center" wrapText="1"/>
    </xf>
    <xf numFmtId="0" fontId="19" fillId="0" borderId="14" xfId="0" applyFont="1" applyFill="1" applyBorder="1" applyAlignment="1">
      <alignment horizontal="center" vertical="center" wrapText="1"/>
    </xf>
    <xf numFmtId="0" fontId="19" fillId="0" borderId="17" xfId="0" applyFont="1" applyFill="1" applyBorder="1" applyAlignment="1">
      <alignment horizontal="center" vertical="center" wrapText="1"/>
    </xf>
    <xf numFmtId="0" fontId="11" fillId="0" borderId="4" xfId="0" applyFont="1" applyFill="1" applyBorder="1" applyAlignment="1">
      <alignment horizontal="justify" vertical="center" wrapText="1"/>
    </xf>
    <xf numFmtId="0" fontId="11" fillId="0" borderId="6" xfId="0" applyFont="1" applyFill="1" applyBorder="1" applyAlignment="1">
      <alignment horizontal="justify" vertical="center" wrapText="1"/>
    </xf>
    <xf numFmtId="0" fontId="0" fillId="0" borderId="13" xfId="0" applyFill="1" applyBorder="1" applyAlignment="1">
      <alignment horizontal="center" vertical="center" wrapText="1"/>
    </xf>
    <xf numFmtId="0" fontId="11" fillId="0" borderId="2" xfId="0" applyFont="1" applyFill="1" applyBorder="1" applyAlignment="1">
      <alignment horizontal="justify" vertical="center" wrapText="1"/>
    </xf>
    <xf numFmtId="0" fontId="0" fillId="0" borderId="17" xfId="0" applyFill="1" applyBorder="1" applyAlignment="1">
      <alignment horizontal="center" vertical="center" wrapText="1"/>
    </xf>
    <xf numFmtId="0" fontId="11" fillId="0" borderId="8" xfId="0" applyFont="1" applyFill="1" applyBorder="1" applyAlignment="1">
      <alignment horizontal="justify" vertical="center" wrapText="1"/>
    </xf>
    <xf numFmtId="0" fontId="0" fillId="0" borderId="18" xfId="0" applyFill="1" applyBorder="1" applyAlignment="1">
      <alignment horizontal="center" vertical="center" wrapText="1"/>
    </xf>
    <xf numFmtId="176" fontId="19" fillId="0" borderId="5" xfId="0" applyNumberFormat="1" applyFont="1" applyFill="1" applyBorder="1" applyAlignment="1">
      <alignment horizontal="center" vertical="center" wrapText="1"/>
    </xf>
    <xf numFmtId="176" fontId="19" fillId="0" borderId="7" xfId="0" applyNumberFormat="1" applyFont="1" applyFill="1" applyBorder="1" applyAlignment="1">
      <alignment horizontal="center" vertical="center" wrapText="1"/>
    </xf>
    <xf numFmtId="176" fontId="19" fillId="0" borderId="9" xfId="0" applyNumberFormat="1" applyFont="1" applyFill="1" applyBorder="1" applyAlignment="1">
      <alignment horizontal="center" vertical="center" wrapText="1"/>
    </xf>
    <xf numFmtId="0" fontId="11" fillId="0" borderId="3" xfId="0" applyFont="1" applyFill="1" applyBorder="1" applyAlignment="1">
      <alignment horizontal="justify" vertical="center" wrapText="1"/>
    </xf>
    <xf numFmtId="0" fontId="0" fillId="0" borderId="3" xfId="0" applyFill="1" applyBorder="1" applyAlignment="1">
      <alignment horizontal="center" vertical="center" wrapText="1"/>
    </xf>
    <xf numFmtId="0" fontId="3" fillId="0" borderId="3" xfId="0" applyFont="1" applyFill="1" applyBorder="1" applyAlignment="1">
      <alignment horizontal="center" vertical="center"/>
    </xf>
    <xf numFmtId="0" fontId="4" fillId="0" borderId="5" xfId="0" applyFont="1" applyFill="1" applyBorder="1" applyAlignment="1">
      <alignment horizontal="center" vertical="center"/>
    </xf>
    <xf numFmtId="0" fontId="11" fillId="0" borderId="3" xfId="0" applyFont="1" applyFill="1" applyBorder="1" applyAlignment="1">
      <alignment horizontal="center" vertical="center" wrapText="1"/>
    </xf>
    <xf numFmtId="0" fontId="9" fillId="0" borderId="19" xfId="0" applyFont="1" applyFill="1" applyBorder="1" applyAlignment="1">
      <alignment horizontal="center" vertical="center"/>
    </xf>
    <xf numFmtId="0" fontId="11" fillId="0" borderId="10" xfId="0" applyFont="1" applyFill="1" applyBorder="1" applyAlignment="1">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W425"/>
  <sheetViews>
    <sheetView tabSelected="1" zoomScale="70" zoomScaleNormal="70" workbookViewId="0">
      <pane ySplit="2" topLeftCell="A116" activePane="bottomLeft" state="frozen"/>
      <selection/>
      <selection pane="bottomLeft" activeCell="M425" sqref="M425"/>
    </sheetView>
  </sheetViews>
  <sheetFormatPr defaultColWidth="9" defaultRowHeight="14"/>
  <cols>
    <col min="1" max="1" width="9" style="1"/>
    <col min="2" max="2" width="11.6363636363636" style="4" customWidth="1"/>
    <col min="3" max="3" width="9" style="1"/>
    <col min="4" max="4" width="11.8909090909091" style="1" customWidth="1"/>
    <col min="5" max="5" width="12.8090909090909" style="1" customWidth="1"/>
    <col min="6" max="6" width="9.26363636363636" style="1" customWidth="1"/>
    <col min="7" max="7" width="17.3909090909091" style="1" customWidth="1"/>
    <col min="8" max="8" width="28.2545454545455" style="4" customWidth="1"/>
    <col min="9" max="9" width="29.1" style="1" customWidth="1"/>
    <col min="10" max="10" width="28.5818181818182" style="1" customWidth="1"/>
    <col min="11" max="11" width="24.0545454545455" style="1" customWidth="1"/>
    <col min="12" max="13" width="22.0272727272727" style="1" customWidth="1"/>
    <col min="14" max="14" width="14.8818181818182" style="1" customWidth="1"/>
    <col min="15" max="15" width="13.3818181818182" style="1" customWidth="1"/>
    <col min="16" max="16" width="9" style="1" customWidth="1"/>
    <col min="17" max="17" width="9" style="1"/>
    <col min="18" max="18" width="9" style="4"/>
    <col min="19" max="19" width="9" style="1"/>
    <col min="20" max="20" width="17.7818181818182" style="1" customWidth="1"/>
    <col min="21" max="16384" width="9" style="1"/>
  </cols>
  <sheetData>
    <row r="1" s="1" customFormat="1" ht="32" spans="1:19">
      <c r="A1" s="8" t="s">
        <v>0</v>
      </c>
      <c r="B1" s="9"/>
      <c r="C1" s="9"/>
      <c r="D1" s="9"/>
      <c r="E1" s="9"/>
      <c r="F1" s="9"/>
      <c r="G1" s="9"/>
      <c r="H1" s="9"/>
      <c r="I1" s="9"/>
      <c r="J1" s="9"/>
      <c r="K1" s="9"/>
      <c r="L1" s="9"/>
      <c r="M1" s="9"/>
      <c r="N1" s="9"/>
      <c r="O1" s="9"/>
      <c r="P1" s="9"/>
      <c r="Q1" s="9"/>
      <c r="R1" s="9"/>
      <c r="S1" s="9"/>
    </row>
    <row r="2" s="2" customFormat="1" ht="83" customHeight="1" spans="1:21">
      <c r="A2" s="10" t="s">
        <v>1</v>
      </c>
      <c r="B2" s="10" t="s">
        <v>2</v>
      </c>
      <c r="C2" s="10" t="s">
        <v>3</v>
      </c>
      <c r="D2" s="10" t="s">
        <v>4</v>
      </c>
      <c r="E2" s="11" t="s">
        <v>5</v>
      </c>
      <c r="F2" s="11" t="s">
        <v>6</v>
      </c>
      <c r="G2" s="12" t="s">
        <v>7</v>
      </c>
      <c r="H2" s="11" t="s">
        <v>8</v>
      </c>
      <c r="I2" s="10" t="s">
        <v>9</v>
      </c>
      <c r="J2" s="10" t="s">
        <v>10</v>
      </c>
      <c r="K2" s="10" t="s">
        <v>11</v>
      </c>
      <c r="L2" s="10" t="s">
        <v>12</v>
      </c>
      <c r="M2" s="33" t="s">
        <v>13</v>
      </c>
      <c r="N2" s="33" t="s">
        <v>14</v>
      </c>
      <c r="O2" s="33" t="s">
        <v>15</v>
      </c>
      <c r="P2" s="33" t="s">
        <v>16</v>
      </c>
      <c r="Q2" s="33" t="s">
        <v>17</v>
      </c>
      <c r="R2" s="33" t="s">
        <v>18</v>
      </c>
      <c r="S2" s="33" t="s">
        <v>19</v>
      </c>
      <c r="T2" s="33" t="s">
        <v>20</v>
      </c>
      <c r="U2" s="33" t="s">
        <v>21</v>
      </c>
    </row>
    <row r="3" s="1" customFormat="1" ht="34" hidden="1" customHeight="1" spans="1:21">
      <c r="A3" s="13" t="s">
        <v>22</v>
      </c>
      <c r="B3" s="13" t="s">
        <v>23</v>
      </c>
      <c r="C3" s="13" t="s">
        <v>24</v>
      </c>
      <c r="D3" s="13" t="s">
        <v>25</v>
      </c>
      <c r="E3" s="13">
        <v>12</v>
      </c>
      <c r="F3" s="13">
        <v>9</v>
      </c>
      <c r="G3" s="14">
        <f t="shared" ref="G3:G5" si="0">F3/E3</f>
        <v>0.75</v>
      </c>
      <c r="H3" s="15" t="s">
        <v>26</v>
      </c>
      <c r="I3" s="15"/>
      <c r="J3" s="15">
        <v>15.94</v>
      </c>
      <c r="K3" s="13">
        <v>0</v>
      </c>
      <c r="L3" s="34"/>
      <c r="M3" s="35">
        <f t="shared" ref="M3:M5" si="1">J3/(J3+K3)</f>
        <v>1</v>
      </c>
      <c r="N3" s="36"/>
      <c r="O3" s="37"/>
      <c r="P3" s="37"/>
      <c r="Q3" s="37"/>
      <c r="R3" s="45" t="s">
        <v>27</v>
      </c>
      <c r="S3" s="59"/>
      <c r="T3" s="59"/>
      <c r="U3" s="59"/>
    </row>
    <row r="4" s="1" customFormat="1" ht="42" hidden="1" customHeight="1" spans="1:21">
      <c r="A4" s="13" t="s">
        <v>22</v>
      </c>
      <c r="B4" s="13" t="s">
        <v>23</v>
      </c>
      <c r="C4" s="13" t="s">
        <v>28</v>
      </c>
      <c r="D4" s="13" t="s">
        <v>25</v>
      </c>
      <c r="E4" s="13">
        <v>12</v>
      </c>
      <c r="F4" s="13">
        <v>5</v>
      </c>
      <c r="G4" s="14">
        <f t="shared" si="0"/>
        <v>0.416666666666667</v>
      </c>
      <c r="H4" s="15" t="s">
        <v>29</v>
      </c>
      <c r="I4" s="15"/>
      <c r="J4" s="15">
        <v>10.99</v>
      </c>
      <c r="K4" s="13">
        <v>0</v>
      </c>
      <c r="L4" s="34"/>
      <c r="M4" s="35">
        <f t="shared" si="1"/>
        <v>1</v>
      </c>
      <c r="N4" s="36"/>
      <c r="O4" s="37"/>
      <c r="P4" s="37"/>
      <c r="Q4" s="37"/>
      <c r="R4" s="45" t="s">
        <v>27</v>
      </c>
      <c r="S4" s="37"/>
      <c r="T4" s="37"/>
      <c r="U4" s="37"/>
    </row>
    <row r="5" s="1" customFormat="1" ht="15" hidden="1" spans="1:21">
      <c r="A5" s="16" t="s">
        <v>22</v>
      </c>
      <c r="B5" s="16" t="s">
        <v>30</v>
      </c>
      <c r="C5" s="16" t="s">
        <v>31</v>
      </c>
      <c r="D5" s="16" t="s">
        <v>32</v>
      </c>
      <c r="E5" s="16">
        <v>34</v>
      </c>
      <c r="F5" s="17">
        <v>24</v>
      </c>
      <c r="G5" s="18">
        <f t="shared" si="0"/>
        <v>0.705882352941177</v>
      </c>
      <c r="H5" s="19" t="s">
        <v>33</v>
      </c>
      <c r="I5" s="19" t="s">
        <v>34</v>
      </c>
      <c r="J5" s="16">
        <v>79.16</v>
      </c>
      <c r="K5" s="16">
        <v>37.61</v>
      </c>
      <c r="L5" s="16" t="s">
        <v>35</v>
      </c>
      <c r="M5" s="28">
        <f t="shared" si="1"/>
        <v>0.677913847734863</v>
      </c>
      <c r="N5" s="38" t="s">
        <v>36</v>
      </c>
      <c r="O5" s="38">
        <v>3.68</v>
      </c>
      <c r="P5" s="38">
        <v>31</v>
      </c>
      <c r="Q5" s="38" t="s">
        <v>37</v>
      </c>
      <c r="R5" s="60" t="s">
        <v>38</v>
      </c>
      <c r="S5" s="37">
        <v>312</v>
      </c>
      <c r="T5" s="37"/>
      <c r="U5" s="37"/>
    </row>
    <row r="6" s="1" customFormat="1" ht="15" hidden="1" spans="1:21">
      <c r="A6" s="20"/>
      <c r="B6" s="20"/>
      <c r="C6" s="20"/>
      <c r="D6" s="20"/>
      <c r="E6" s="20"/>
      <c r="F6" s="21"/>
      <c r="G6" s="22"/>
      <c r="H6" s="23"/>
      <c r="I6" s="23"/>
      <c r="J6" s="20"/>
      <c r="K6" s="20"/>
      <c r="L6" s="20"/>
      <c r="M6" s="29"/>
      <c r="N6" s="38" t="s">
        <v>39</v>
      </c>
      <c r="O6" s="38">
        <v>3.51</v>
      </c>
      <c r="P6" s="38">
        <v>31</v>
      </c>
      <c r="Q6" s="38" t="s">
        <v>37</v>
      </c>
      <c r="R6" s="61"/>
      <c r="S6" s="37"/>
      <c r="T6" s="37"/>
      <c r="U6" s="37"/>
    </row>
    <row r="7" s="1" customFormat="1" ht="15" hidden="1" spans="1:21">
      <c r="A7" s="20"/>
      <c r="B7" s="20"/>
      <c r="C7" s="20"/>
      <c r="D7" s="20"/>
      <c r="E7" s="20"/>
      <c r="F7" s="21"/>
      <c r="G7" s="22"/>
      <c r="H7" s="23"/>
      <c r="I7" s="23"/>
      <c r="J7" s="20"/>
      <c r="K7" s="20"/>
      <c r="L7" s="20"/>
      <c r="M7" s="29"/>
      <c r="N7" s="38" t="s">
        <v>40</v>
      </c>
      <c r="O7" s="38">
        <v>3.23</v>
      </c>
      <c r="P7" s="38">
        <v>36</v>
      </c>
      <c r="Q7" s="38" t="s">
        <v>37</v>
      </c>
      <c r="R7" s="61"/>
      <c r="S7" s="37"/>
      <c r="T7" s="37"/>
      <c r="U7" s="37"/>
    </row>
    <row r="8" s="1" customFormat="1" ht="15" hidden="1" spans="1:21">
      <c r="A8" s="20"/>
      <c r="B8" s="20"/>
      <c r="C8" s="20"/>
      <c r="D8" s="20"/>
      <c r="E8" s="20"/>
      <c r="F8" s="21"/>
      <c r="G8" s="22"/>
      <c r="H8" s="23"/>
      <c r="I8" s="23"/>
      <c r="J8" s="20"/>
      <c r="K8" s="20"/>
      <c r="L8" s="20"/>
      <c r="M8" s="29"/>
      <c r="N8" s="38" t="s">
        <v>41</v>
      </c>
      <c r="O8" s="38">
        <v>6.05</v>
      </c>
      <c r="P8" s="38">
        <v>51</v>
      </c>
      <c r="Q8" s="38" t="s">
        <v>37</v>
      </c>
      <c r="R8" s="61"/>
      <c r="S8" s="37"/>
      <c r="T8" s="37"/>
      <c r="U8" s="37"/>
    </row>
    <row r="9" s="1" customFormat="1" ht="15" hidden="1" spans="1:21">
      <c r="A9" s="20"/>
      <c r="B9" s="20"/>
      <c r="C9" s="20"/>
      <c r="D9" s="20"/>
      <c r="E9" s="20"/>
      <c r="F9" s="21"/>
      <c r="G9" s="22"/>
      <c r="H9" s="23"/>
      <c r="I9" s="23"/>
      <c r="J9" s="20"/>
      <c r="K9" s="20"/>
      <c r="L9" s="20"/>
      <c r="M9" s="29"/>
      <c r="N9" s="38" t="s">
        <v>42</v>
      </c>
      <c r="O9" s="38">
        <v>5.09</v>
      </c>
      <c r="P9" s="38">
        <v>54</v>
      </c>
      <c r="Q9" s="38" t="s">
        <v>37</v>
      </c>
      <c r="R9" s="61"/>
      <c r="S9" s="37"/>
      <c r="T9" s="37"/>
      <c r="U9" s="37"/>
    </row>
    <row r="10" s="1" customFormat="1" ht="15" hidden="1" spans="1:21">
      <c r="A10" s="20"/>
      <c r="B10" s="20"/>
      <c r="C10" s="20"/>
      <c r="D10" s="20"/>
      <c r="E10" s="20"/>
      <c r="F10" s="21"/>
      <c r="G10" s="22"/>
      <c r="H10" s="23"/>
      <c r="I10" s="23"/>
      <c r="J10" s="20"/>
      <c r="K10" s="20"/>
      <c r="L10" s="20"/>
      <c r="M10" s="29"/>
      <c r="N10" s="38" t="s">
        <v>43</v>
      </c>
      <c r="O10" s="38">
        <v>2.74</v>
      </c>
      <c r="P10" s="38">
        <v>1</v>
      </c>
      <c r="Q10" s="38" t="s">
        <v>44</v>
      </c>
      <c r="R10" s="61"/>
      <c r="S10" s="37"/>
      <c r="T10" s="37"/>
      <c r="U10" s="37"/>
    </row>
    <row r="11" s="1" customFormat="1" ht="15" hidden="1" spans="1:21">
      <c r="A11" s="20"/>
      <c r="B11" s="20"/>
      <c r="C11" s="20"/>
      <c r="D11" s="20"/>
      <c r="E11" s="20"/>
      <c r="F11" s="21"/>
      <c r="G11" s="22"/>
      <c r="H11" s="23"/>
      <c r="I11" s="23"/>
      <c r="J11" s="20"/>
      <c r="K11" s="20"/>
      <c r="L11" s="20"/>
      <c r="M11" s="29"/>
      <c r="N11" s="38" t="s">
        <v>45</v>
      </c>
      <c r="O11" s="38">
        <v>0.59</v>
      </c>
      <c r="P11" s="38">
        <v>1</v>
      </c>
      <c r="Q11" s="38" t="s">
        <v>44</v>
      </c>
      <c r="R11" s="61"/>
      <c r="S11" s="37"/>
      <c r="T11" s="37"/>
      <c r="U11" s="37"/>
    </row>
    <row r="12" s="1" customFormat="1" ht="15" hidden="1" spans="1:21">
      <c r="A12" s="20"/>
      <c r="B12" s="20"/>
      <c r="C12" s="20"/>
      <c r="D12" s="20"/>
      <c r="E12" s="20"/>
      <c r="F12" s="21"/>
      <c r="G12" s="22"/>
      <c r="H12" s="23"/>
      <c r="I12" s="23"/>
      <c r="J12" s="20"/>
      <c r="K12" s="20"/>
      <c r="L12" s="20"/>
      <c r="M12" s="29"/>
      <c r="N12" s="38" t="s">
        <v>46</v>
      </c>
      <c r="O12" s="38">
        <v>7.16</v>
      </c>
      <c r="P12" s="38">
        <v>106</v>
      </c>
      <c r="Q12" s="38" t="s">
        <v>37</v>
      </c>
      <c r="R12" s="61"/>
      <c r="S12" s="37"/>
      <c r="T12" s="37"/>
      <c r="U12" s="37"/>
    </row>
    <row r="13" s="1" customFormat="1" ht="15" hidden="1" spans="1:21">
      <c r="A13" s="24"/>
      <c r="B13" s="24"/>
      <c r="C13" s="24"/>
      <c r="D13" s="24"/>
      <c r="E13" s="24"/>
      <c r="F13" s="25"/>
      <c r="G13" s="26"/>
      <c r="H13" s="27"/>
      <c r="I13" s="27"/>
      <c r="J13" s="24"/>
      <c r="K13" s="24"/>
      <c r="L13" s="24"/>
      <c r="M13" s="30"/>
      <c r="N13" s="38" t="s">
        <v>47</v>
      </c>
      <c r="O13" s="38">
        <v>5.56</v>
      </c>
      <c r="P13" s="38">
        <v>1</v>
      </c>
      <c r="Q13" s="38" t="s">
        <v>44</v>
      </c>
      <c r="R13" s="62"/>
      <c r="S13" s="37"/>
      <c r="T13" s="37"/>
      <c r="U13" s="37"/>
    </row>
    <row r="14" s="1" customFormat="1" ht="15" hidden="1" spans="1:21">
      <c r="A14" s="16" t="s">
        <v>22</v>
      </c>
      <c r="B14" s="16" t="s">
        <v>30</v>
      </c>
      <c r="C14" s="16" t="s">
        <v>48</v>
      </c>
      <c r="D14" s="16" t="s">
        <v>32</v>
      </c>
      <c r="E14" s="16">
        <v>29</v>
      </c>
      <c r="F14" s="17">
        <v>17</v>
      </c>
      <c r="G14" s="28">
        <f>F14/E14</f>
        <v>0.586206896551724</v>
      </c>
      <c r="H14" s="19" t="s">
        <v>49</v>
      </c>
      <c r="I14" s="19" t="s">
        <v>50</v>
      </c>
      <c r="J14" s="16">
        <v>60.5</v>
      </c>
      <c r="K14" s="16">
        <v>19.37</v>
      </c>
      <c r="L14" s="16" t="s">
        <v>35</v>
      </c>
      <c r="M14" s="28">
        <f>J14/(J14+K14)</f>
        <v>0.757480906473019</v>
      </c>
      <c r="N14" s="38" t="s">
        <v>51</v>
      </c>
      <c r="O14" s="38">
        <v>6.8</v>
      </c>
      <c r="P14" s="38">
        <v>25</v>
      </c>
      <c r="Q14" s="38" t="s">
        <v>37</v>
      </c>
      <c r="R14" s="63" t="s">
        <v>52</v>
      </c>
      <c r="S14" s="37">
        <v>67</v>
      </c>
      <c r="T14" s="37"/>
      <c r="U14" s="37"/>
    </row>
    <row r="15" s="1" customFormat="1" ht="15" hidden="1" spans="1:21">
      <c r="A15" s="20"/>
      <c r="B15" s="20"/>
      <c r="C15" s="20"/>
      <c r="D15" s="20"/>
      <c r="E15" s="20"/>
      <c r="F15" s="21"/>
      <c r="G15" s="29"/>
      <c r="H15" s="23"/>
      <c r="I15" s="23"/>
      <c r="J15" s="20"/>
      <c r="K15" s="20"/>
      <c r="L15" s="20"/>
      <c r="M15" s="29"/>
      <c r="N15" s="38" t="s">
        <v>53</v>
      </c>
      <c r="O15" s="38">
        <v>0.26</v>
      </c>
      <c r="P15" s="38">
        <v>1</v>
      </c>
      <c r="Q15" s="38" t="s">
        <v>37</v>
      </c>
      <c r="R15" s="64"/>
      <c r="S15" s="37"/>
      <c r="T15" s="37"/>
      <c r="U15" s="37"/>
    </row>
    <row r="16" s="1" customFormat="1" ht="15" hidden="1" spans="1:21">
      <c r="A16" s="20"/>
      <c r="B16" s="20"/>
      <c r="C16" s="20"/>
      <c r="D16" s="20"/>
      <c r="E16" s="20"/>
      <c r="F16" s="21"/>
      <c r="G16" s="29"/>
      <c r="H16" s="23"/>
      <c r="I16" s="23"/>
      <c r="J16" s="20"/>
      <c r="K16" s="20"/>
      <c r="L16" s="20"/>
      <c r="M16" s="29"/>
      <c r="N16" s="38" t="s">
        <v>54</v>
      </c>
      <c r="O16" s="38">
        <v>0.25</v>
      </c>
      <c r="P16" s="38">
        <v>1</v>
      </c>
      <c r="Q16" s="38" t="s">
        <v>44</v>
      </c>
      <c r="R16" s="64"/>
      <c r="S16" s="37"/>
      <c r="T16" s="37"/>
      <c r="U16" s="37"/>
    </row>
    <row r="17" s="1" customFormat="1" ht="15" hidden="1" spans="1:21">
      <c r="A17" s="20"/>
      <c r="B17" s="20"/>
      <c r="C17" s="20"/>
      <c r="D17" s="20"/>
      <c r="E17" s="20"/>
      <c r="F17" s="21"/>
      <c r="G17" s="29"/>
      <c r="H17" s="23"/>
      <c r="I17" s="23"/>
      <c r="J17" s="20"/>
      <c r="K17" s="20"/>
      <c r="L17" s="20"/>
      <c r="M17" s="29"/>
      <c r="N17" s="38" t="s">
        <v>55</v>
      </c>
      <c r="O17" s="38">
        <v>0.43</v>
      </c>
      <c r="P17" s="38">
        <v>1</v>
      </c>
      <c r="Q17" s="38" t="s">
        <v>44</v>
      </c>
      <c r="R17" s="64"/>
      <c r="S17" s="37"/>
      <c r="T17" s="37"/>
      <c r="U17" s="37"/>
    </row>
    <row r="18" s="1" customFormat="1" ht="15" hidden="1" spans="1:21">
      <c r="A18" s="20"/>
      <c r="B18" s="20"/>
      <c r="C18" s="20"/>
      <c r="D18" s="20"/>
      <c r="E18" s="20"/>
      <c r="F18" s="21"/>
      <c r="G18" s="29"/>
      <c r="H18" s="23"/>
      <c r="I18" s="23"/>
      <c r="J18" s="20"/>
      <c r="K18" s="20"/>
      <c r="L18" s="20"/>
      <c r="M18" s="29"/>
      <c r="N18" s="38" t="s">
        <v>56</v>
      </c>
      <c r="O18" s="38">
        <v>1.12</v>
      </c>
      <c r="P18" s="38">
        <v>1</v>
      </c>
      <c r="Q18" s="38" t="s">
        <v>44</v>
      </c>
      <c r="R18" s="64"/>
      <c r="S18" s="37"/>
      <c r="T18" s="37"/>
      <c r="U18" s="37"/>
    </row>
    <row r="19" s="1" customFormat="1" ht="15" hidden="1" spans="1:21">
      <c r="A19" s="20"/>
      <c r="B19" s="20"/>
      <c r="C19" s="20"/>
      <c r="D19" s="20"/>
      <c r="E19" s="20"/>
      <c r="F19" s="21"/>
      <c r="G19" s="29"/>
      <c r="H19" s="23"/>
      <c r="I19" s="23"/>
      <c r="J19" s="20"/>
      <c r="K19" s="20"/>
      <c r="L19" s="20"/>
      <c r="M19" s="29"/>
      <c r="N19" s="38" t="s">
        <v>57</v>
      </c>
      <c r="O19" s="38">
        <v>4.52</v>
      </c>
      <c r="P19" s="38">
        <v>37</v>
      </c>
      <c r="Q19" s="38" t="s">
        <v>37</v>
      </c>
      <c r="R19" s="64"/>
      <c r="S19" s="37"/>
      <c r="T19" s="37"/>
      <c r="U19" s="37"/>
    </row>
    <row r="20" s="1" customFormat="1" ht="15" hidden="1" spans="1:21">
      <c r="A20" s="24"/>
      <c r="B20" s="24"/>
      <c r="C20" s="24"/>
      <c r="D20" s="24"/>
      <c r="E20" s="24"/>
      <c r="F20" s="25"/>
      <c r="G20" s="30"/>
      <c r="H20" s="27"/>
      <c r="I20" s="27"/>
      <c r="J20" s="24"/>
      <c r="K20" s="24"/>
      <c r="L20" s="24"/>
      <c r="M20" s="30"/>
      <c r="N20" s="38" t="s">
        <v>58</v>
      </c>
      <c r="O20" s="38">
        <v>5.99</v>
      </c>
      <c r="P20" s="38">
        <v>1</v>
      </c>
      <c r="Q20" s="38" t="s">
        <v>44</v>
      </c>
      <c r="R20" s="49"/>
      <c r="S20" s="37"/>
      <c r="T20" s="37"/>
      <c r="U20" s="37"/>
    </row>
    <row r="21" s="1" customFormat="1" ht="90" hidden="1" spans="1:21">
      <c r="A21" s="16" t="s">
        <v>22</v>
      </c>
      <c r="B21" s="16" t="s">
        <v>30</v>
      </c>
      <c r="C21" s="16" t="s">
        <v>59</v>
      </c>
      <c r="D21" s="16" t="s">
        <v>25</v>
      </c>
      <c r="E21" s="16">
        <v>22</v>
      </c>
      <c r="F21" s="16">
        <v>14</v>
      </c>
      <c r="G21" s="18">
        <f t="shared" ref="G21:G25" si="2">F21/E21</f>
        <v>0.636363636363636</v>
      </c>
      <c r="H21" s="19" t="s">
        <v>60</v>
      </c>
      <c r="I21" s="19"/>
      <c r="J21" s="39">
        <v>50.51</v>
      </c>
      <c r="K21" s="19">
        <v>0</v>
      </c>
      <c r="L21" s="40" t="s">
        <v>35</v>
      </c>
      <c r="M21" s="41">
        <f t="shared" ref="M21:M25" si="3">J21/(J21+K21)</f>
        <v>1</v>
      </c>
      <c r="N21" s="42"/>
      <c r="O21" s="43"/>
      <c r="P21" s="43"/>
      <c r="Q21" s="43"/>
      <c r="R21" s="45" t="s">
        <v>52</v>
      </c>
      <c r="S21" s="37"/>
      <c r="T21" s="37"/>
      <c r="U21" s="37"/>
    </row>
    <row r="22" s="1" customFormat="1" hidden="1" spans="1:21">
      <c r="A22" s="13" t="s">
        <v>22</v>
      </c>
      <c r="B22" s="13" t="s">
        <v>30</v>
      </c>
      <c r="C22" s="13" t="s">
        <v>61</v>
      </c>
      <c r="D22" s="15" t="s">
        <v>32</v>
      </c>
      <c r="E22" s="31">
        <v>27</v>
      </c>
      <c r="F22" s="31">
        <v>13</v>
      </c>
      <c r="G22" s="32">
        <f t="shared" si="2"/>
        <v>0.481481481481481</v>
      </c>
      <c r="H22" s="15" t="s">
        <v>62</v>
      </c>
      <c r="I22" s="15" t="s">
        <v>63</v>
      </c>
      <c r="J22" s="44">
        <v>38.94</v>
      </c>
      <c r="K22" s="44">
        <v>15.8</v>
      </c>
      <c r="L22" s="13" t="s">
        <v>37</v>
      </c>
      <c r="M22" s="35">
        <f t="shared" si="3"/>
        <v>0.711362805991962</v>
      </c>
      <c r="N22" s="45" t="s">
        <v>64</v>
      </c>
      <c r="O22" s="45">
        <v>1.06</v>
      </c>
      <c r="P22" s="45">
        <v>10</v>
      </c>
      <c r="Q22" s="45" t="s">
        <v>37</v>
      </c>
      <c r="R22" s="60" t="s">
        <v>38</v>
      </c>
      <c r="S22" s="37">
        <v>71</v>
      </c>
      <c r="T22" s="37"/>
      <c r="U22" s="37"/>
    </row>
    <row r="23" s="1" customFormat="1" hidden="1" spans="1:21">
      <c r="A23" s="13"/>
      <c r="B23" s="13"/>
      <c r="C23" s="13"/>
      <c r="D23" s="15"/>
      <c r="E23" s="31"/>
      <c r="F23" s="31"/>
      <c r="G23" s="32"/>
      <c r="H23" s="15"/>
      <c r="I23" s="15"/>
      <c r="J23" s="44"/>
      <c r="K23" s="44"/>
      <c r="L23" s="13"/>
      <c r="M23" s="35"/>
      <c r="N23" s="45" t="s">
        <v>65</v>
      </c>
      <c r="O23" s="45">
        <v>7.55</v>
      </c>
      <c r="P23" s="45">
        <v>5</v>
      </c>
      <c r="Q23" s="45" t="s">
        <v>37</v>
      </c>
      <c r="R23" s="61"/>
      <c r="S23" s="37"/>
      <c r="T23" s="37"/>
      <c r="U23" s="37"/>
    </row>
    <row r="24" s="1" customFormat="1" hidden="1" spans="1:21">
      <c r="A24" s="13"/>
      <c r="B24" s="13"/>
      <c r="C24" s="13"/>
      <c r="D24" s="15"/>
      <c r="E24" s="31"/>
      <c r="F24" s="31"/>
      <c r="G24" s="32"/>
      <c r="H24" s="15"/>
      <c r="I24" s="15"/>
      <c r="J24" s="44"/>
      <c r="K24" s="44"/>
      <c r="L24" s="13"/>
      <c r="M24" s="35"/>
      <c r="N24" s="45" t="s">
        <v>66</v>
      </c>
      <c r="O24" s="45">
        <v>7.19</v>
      </c>
      <c r="P24" s="45">
        <v>56</v>
      </c>
      <c r="Q24" s="45" t="s">
        <v>37</v>
      </c>
      <c r="R24" s="61"/>
      <c r="S24" s="37"/>
      <c r="T24" s="37"/>
      <c r="U24" s="37"/>
    </row>
    <row r="25" s="1" customFormat="1" ht="15" hidden="1" spans="1:21">
      <c r="A25" s="20" t="s">
        <v>22</v>
      </c>
      <c r="B25" s="20" t="s">
        <v>30</v>
      </c>
      <c r="C25" s="20" t="s">
        <v>67</v>
      </c>
      <c r="D25" s="20" t="s">
        <v>32</v>
      </c>
      <c r="E25" s="20">
        <v>27</v>
      </c>
      <c r="F25" s="20">
        <v>20</v>
      </c>
      <c r="G25" s="22">
        <f t="shared" si="2"/>
        <v>0.740740740740741</v>
      </c>
      <c r="H25" s="23" t="s">
        <v>68</v>
      </c>
      <c r="I25" s="23" t="s">
        <v>69</v>
      </c>
      <c r="J25" s="46">
        <v>51.04</v>
      </c>
      <c r="K25" s="46">
        <v>21.99</v>
      </c>
      <c r="L25" s="47" t="s">
        <v>37</v>
      </c>
      <c r="M25" s="48">
        <f t="shared" si="3"/>
        <v>0.698890866767082</v>
      </c>
      <c r="N25" s="49" t="s">
        <v>70</v>
      </c>
      <c r="O25" s="49">
        <v>3.66</v>
      </c>
      <c r="P25" s="49">
        <v>40</v>
      </c>
      <c r="Q25" s="49" t="s">
        <v>37</v>
      </c>
      <c r="R25" s="60" t="s">
        <v>38</v>
      </c>
      <c r="S25" s="37">
        <v>259</v>
      </c>
      <c r="T25" s="37"/>
      <c r="U25" s="37"/>
    </row>
    <row r="26" s="1" customFormat="1" ht="15" hidden="1" spans="1:21">
      <c r="A26" s="20"/>
      <c r="B26" s="20"/>
      <c r="C26" s="20"/>
      <c r="D26" s="20"/>
      <c r="E26" s="20"/>
      <c r="F26" s="20"/>
      <c r="G26" s="22"/>
      <c r="H26" s="23"/>
      <c r="I26" s="23"/>
      <c r="J26" s="46"/>
      <c r="K26" s="23"/>
      <c r="L26" s="47"/>
      <c r="M26" s="48"/>
      <c r="N26" s="38" t="s">
        <v>71</v>
      </c>
      <c r="O26" s="50">
        <v>6.2</v>
      </c>
      <c r="P26" s="38">
        <v>75</v>
      </c>
      <c r="Q26" s="38" t="s">
        <v>37</v>
      </c>
      <c r="R26" s="61"/>
      <c r="S26" s="37"/>
      <c r="T26" s="37"/>
      <c r="U26" s="37"/>
    </row>
    <row r="27" s="1" customFormat="1" ht="15" hidden="1" spans="1:21">
      <c r="A27" s="20"/>
      <c r="B27" s="20"/>
      <c r="C27" s="20"/>
      <c r="D27" s="20"/>
      <c r="E27" s="20"/>
      <c r="F27" s="20"/>
      <c r="G27" s="22"/>
      <c r="H27" s="23"/>
      <c r="I27" s="23"/>
      <c r="J27" s="46"/>
      <c r="K27" s="23"/>
      <c r="L27" s="47"/>
      <c r="M27" s="48"/>
      <c r="N27" s="38" t="s">
        <v>72</v>
      </c>
      <c r="O27" s="38">
        <v>6.57</v>
      </c>
      <c r="P27" s="38">
        <v>91</v>
      </c>
      <c r="Q27" s="38" t="s">
        <v>37</v>
      </c>
      <c r="R27" s="61"/>
      <c r="S27" s="37"/>
      <c r="T27" s="37"/>
      <c r="U27" s="37"/>
    </row>
    <row r="28" s="1" customFormat="1" ht="15" hidden="1" spans="1:21">
      <c r="A28" s="20"/>
      <c r="B28" s="20"/>
      <c r="C28" s="20"/>
      <c r="D28" s="20"/>
      <c r="E28" s="20"/>
      <c r="F28" s="20"/>
      <c r="G28" s="22"/>
      <c r="H28" s="23"/>
      <c r="I28" s="23"/>
      <c r="J28" s="46"/>
      <c r="K28" s="23"/>
      <c r="L28" s="47"/>
      <c r="M28" s="48"/>
      <c r="N28" s="38" t="s">
        <v>73</v>
      </c>
      <c r="O28" s="38">
        <v>1.84</v>
      </c>
      <c r="P28" s="38">
        <v>23</v>
      </c>
      <c r="Q28" s="38" t="s">
        <v>37</v>
      </c>
      <c r="R28" s="61"/>
      <c r="S28" s="37"/>
      <c r="T28" s="37"/>
      <c r="U28" s="37"/>
    </row>
    <row r="29" s="1" customFormat="1" ht="15" hidden="1" spans="1:21">
      <c r="A29" s="24"/>
      <c r="B29" s="24"/>
      <c r="C29" s="24"/>
      <c r="D29" s="24"/>
      <c r="E29" s="24"/>
      <c r="F29" s="24"/>
      <c r="G29" s="26"/>
      <c r="H29" s="27"/>
      <c r="I29" s="27"/>
      <c r="J29" s="46"/>
      <c r="K29" s="23"/>
      <c r="L29" s="51"/>
      <c r="M29" s="52"/>
      <c r="N29" s="38" t="s">
        <v>74</v>
      </c>
      <c r="O29" s="38">
        <v>3.72</v>
      </c>
      <c r="P29" s="38">
        <v>30</v>
      </c>
      <c r="Q29" s="38" t="s">
        <v>37</v>
      </c>
      <c r="R29" s="62"/>
      <c r="S29" s="37"/>
      <c r="T29" s="37"/>
      <c r="U29" s="37"/>
    </row>
    <row r="30" s="1" customFormat="1" ht="15" hidden="1" spans="1:21">
      <c r="A30" s="20" t="s">
        <v>22</v>
      </c>
      <c r="B30" s="20" t="s">
        <v>30</v>
      </c>
      <c r="C30" s="20" t="s">
        <v>75</v>
      </c>
      <c r="D30" s="20" t="s">
        <v>32</v>
      </c>
      <c r="E30" s="21">
        <v>15</v>
      </c>
      <c r="F30" s="20">
        <v>8</v>
      </c>
      <c r="G30" s="22">
        <f>F30/E30</f>
        <v>0.533333333333333</v>
      </c>
      <c r="H30" s="23" t="s">
        <v>76</v>
      </c>
      <c r="I30" s="23" t="s">
        <v>77</v>
      </c>
      <c r="J30" s="53">
        <v>20.82</v>
      </c>
      <c r="K30" s="53">
        <v>13.79</v>
      </c>
      <c r="L30" s="47" t="s">
        <v>37</v>
      </c>
      <c r="M30" s="48">
        <f>J30/(J30+K30)</f>
        <v>0.601560242704421</v>
      </c>
      <c r="N30" s="38" t="s">
        <v>78</v>
      </c>
      <c r="O30" s="38">
        <v>3.32</v>
      </c>
      <c r="P30" s="38">
        <v>68</v>
      </c>
      <c r="Q30" s="38" t="s">
        <v>37</v>
      </c>
      <c r="R30" s="61" t="s">
        <v>52</v>
      </c>
      <c r="S30" s="37">
        <v>233</v>
      </c>
      <c r="T30" s="37"/>
      <c r="U30" s="37"/>
    </row>
    <row r="31" s="1" customFormat="1" ht="15" hidden="1" spans="1:21">
      <c r="A31" s="20"/>
      <c r="B31" s="20"/>
      <c r="C31" s="20"/>
      <c r="D31" s="20"/>
      <c r="E31" s="21"/>
      <c r="F31" s="20"/>
      <c r="G31" s="22"/>
      <c r="H31" s="23"/>
      <c r="I31" s="23"/>
      <c r="J31" s="54"/>
      <c r="K31" s="54"/>
      <c r="L31" s="47"/>
      <c r="M31" s="48"/>
      <c r="N31" s="38" t="s">
        <v>79</v>
      </c>
      <c r="O31" s="38">
        <v>5.17</v>
      </c>
      <c r="P31" s="38">
        <v>64</v>
      </c>
      <c r="Q31" s="38" t="s">
        <v>37</v>
      </c>
      <c r="R31" s="61"/>
      <c r="S31" s="37"/>
      <c r="T31" s="37"/>
      <c r="U31" s="37"/>
    </row>
    <row r="32" s="1" customFormat="1" ht="15" hidden="1" spans="1:21">
      <c r="A32" s="20"/>
      <c r="B32" s="20"/>
      <c r="C32" s="20"/>
      <c r="D32" s="20"/>
      <c r="E32" s="21"/>
      <c r="F32" s="20"/>
      <c r="G32" s="22"/>
      <c r="H32" s="23"/>
      <c r="I32" s="23"/>
      <c r="J32" s="54"/>
      <c r="K32" s="54"/>
      <c r="L32" s="47"/>
      <c r="M32" s="48"/>
      <c r="N32" s="38" t="s">
        <v>80</v>
      </c>
      <c r="O32" s="38">
        <v>3.99</v>
      </c>
      <c r="P32" s="38">
        <v>84</v>
      </c>
      <c r="Q32" s="38" t="s">
        <v>37</v>
      </c>
      <c r="R32" s="61"/>
      <c r="S32" s="37"/>
      <c r="T32" s="37"/>
      <c r="U32" s="37"/>
    </row>
    <row r="33" s="1" customFormat="1" ht="15" hidden="1" spans="1:21">
      <c r="A33" s="24"/>
      <c r="B33" s="24"/>
      <c r="C33" s="24"/>
      <c r="D33" s="24"/>
      <c r="E33" s="25"/>
      <c r="F33" s="24"/>
      <c r="G33" s="26"/>
      <c r="H33" s="27"/>
      <c r="I33" s="27"/>
      <c r="J33" s="55"/>
      <c r="K33" s="55"/>
      <c r="L33" s="51"/>
      <c r="M33" s="52"/>
      <c r="N33" s="38" t="s">
        <v>81</v>
      </c>
      <c r="O33" s="38">
        <v>1.31</v>
      </c>
      <c r="P33" s="38">
        <v>17</v>
      </c>
      <c r="Q33" s="38" t="s">
        <v>37</v>
      </c>
      <c r="R33" s="62"/>
      <c r="S33" s="37"/>
      <c r="T33" s="37"/>
      <c r="U33" s="37"/>
    </row>
    <row r="34" s="1" customFormat="1" ht="15" hidden="1" spans="1:21">
      <c r="A34" s="16" t="s">
        <v>22</v>
      </c>
      <c r="B34" s="16" t="s">
        <v>30</v>
      </c>
      <c r="C34" s="16" t="s">
        <v>82</v>
      </c>
      <c r="D34" s="16" t="s">
        <v>32</v>
      </c>
      <c r="E34" s="16">
        <v>19</v>
      </c>
      <c r="F34" s="16">
        <v>6</v>
      </c>
      <c r="G34" s="18">
        <f>F34/E34</f>
        <v>0.315789473684211</v>
      </c>
      <c r="H34" s="19" t="s">
        <v>83</v>
      </c>
      <c r="I34" s="19" t="s">
        <v>84</v>
      </c>
      <c r="J34" s="53">
        <v>17.59</v>
      </c>
      <c r="K34" s="53">
        <v>21.48</v>
      </c>
      <c r="L34" s="40" t="s">
        <v>35</v>
      </c>
      <c r="M34" s="41">
        <f>J34/(J34+K34)</f>
        <v>0.45021755822882</v>
      </c>
      <c r="N34" s="38" t="s">
        <v>85</v>
      </c>
      <c r="O34" s="38">
        <v>2.86</v>
      </c>
      <c r="P34" s="38">
        <v>59</v>
      </c>
      <c r="Q34" s="38" t="s">
        <v>37</v>
      </c>
      <c r="R34" s="60" t="s">
        <v>52</v>
      </c>
      <c r="S34" s="37">
        <v>436</v>
      </c>
      <c r="T34" s="37"/>
      <c r="U34" s="37"/>
    </row>
    <row r="35" s="1" customFormat="1" ht="15" hidden="1" spans="1:21">
      <c r="A35" s="20"/>
      <c r="B35" s="20"/>
      <c r="C35" s="20"/>
      <c r="D35" s="20"/>
      <c r="E35" s="20"/>
      <c r="F35" s="20"/>
      <c r="G35" s="22"/>
      <c r="H35" s="23"/>
      <c r="I35" s="23"/>
      <c r="J35" s="54"/>
      <c r="K35" s="54"/>
      <c r="L35" s="47"/>
      <c r="M35" s="48"/>
      <c r="N35" s="38" t="s">
        <v>86</v>
      </c>
      <c r="O35" s="38">
        <v>3.78</v>
      </c>
      <c r="P35" s="38">
        <v>124</v>
      </c>
      <c r="Q35" s="38" t="s">
        <v>37</v>
      </c>
      <c r="R35" s="61"/>
      <c r="S35" s="37"/>
      <c r="T35" s="37"/>
      <c r="U35" s="37"/>
    </row>
    <row r="36" s="1" customFormat="1" ht="15" hidden="1" spans="1:21">
      <c r="A36" s="20"/>
      <c r="B36" s="20"/>
      <c r="C36" s="20"/>
      <c r="D36" s="20"/>
      <c r="E36" s="20"/>
      <c r="F36" s="20"/>
      <c r="G36" s="22"/>
      <c r="H36" s="23"/>
      <c r="I36" s="23"/>
      <c r="J36" s="54"/>
      <c r="K36" s="54"/>
      <c r="L36" s="47"/>
      <c r="M36" s="48"/>
      <c r="N36" s="38" t="s">
        <v>87</v>
      </c>
      <c r="O36" s="38">
        <v>4.79</v>
      </c>
      <c r="P36" s="38">
        <v>90</v>
      </c>
      <c r="Q36" s="38" t="s">
        <v>37</v>
      </c>
      <c r="R36" s="61"/>
      <c r="S36" s="37"/>
      <c r="T36" s="37"/>
      <c r="U36" s="37"/>
    </row>
    <row r="37" s="1" customFormat="1" ht="15" hidden="1" spans="1:21">
      <c r="A37" s="20"/>
      <c r="B37" s="20"/>
      <c r="C37" s="20"/>
      <c r="D37" s="20"/>
      <c r="E37" s="20"/>
      <c r="F37" s="20"/>
      <c r="G37" s="22"/>
      <c r="H37" s="23"/>
      <c r="I37" s="23"/>
      <c r="J37" s="54"/>
      <c r="K37" s="54"/>
      <c r="L37" s="47"/>
      <c r="M37" s="48"/>
      <c r="N37" s="38" t="s">
        <v>88</v>
      </c>
      <c r="O37" s="38">
        <v>2.65</v>
      </c>
      <c r="P37" s="38">
        <v>60</v>
      </c>
      <c r="Q37" s="38" t="s">
        <v>37</v>
      </c>
      <c r="R37" s="61"/>
      <c r="S37" s="37"/>
      <c r="T37" s="37"/>
      <c r="U37" s="37"/>
    </row>
    <row r="38" s="1" customFormat="1" ht="15" hidden="1" spans="1:21">
      <c r="A38" s="20"/>
      <c r="B38" s="20"/>
      <c r="C38" s="20"/>
      <c r="D38" s="20"/>
      <c r="E38" s="20"/>
      <c r="F38" s="20"/>
      <c r="G38" s="22"/>
      <c r="H38" s="23"/>
      <c r="I38" s="23"/>
      <c r="J38" s="54"/>
      <c r="K38" s="54"/>
      <c r="L38" s="47"/>
      <c r="M38" s="48"/>
      <c r="N38" s="38" t="s">
        <v>89</v>
      </c>
      <c r="O38" s="38">
        <v>4.89</v>
      </c>
      <c r="P38" s="38">
        <v>48</v>
      </c>
      <c r="Q38" s="38" t="s">
        <v>37</v>
      </c>
      <c r="R38" s="61"/>
      <c r="S38" s="37"/>
      <c r="T38" s="37"/>
      <c r="U38" s="37"/>
    </row>
    <row r="39" s="1" customFormat="1" ht="15" hidden="1" spans="1:21">
      <c r="A39" s="20"/>
      <c r="B39" s="20"/>
      <c r="C39" s="20"/>
      <c r="D39" s="20"/>
      <c r="E39" s="20"/>
      <c r="F39" s="20"/>
      <c r="G39" s="22"/>
      <c r="H39" s="23"/>
      <c r="I39" s="23"/>
      <c r="J39" s="54"/>
      <c r="K39" s="54"/>
      <c r="L39" s="47"/>
      <c r="M39" s="48"/>
      <c r="N39" s="38" t="s">
        <v>90</v>
      </c>
      <c r="O39" s="38">
        <v>1.77</v>
      </c>
      <c r="P39" s="38">
        <v>38</v>
      </c>
      <c r="Q39" s="38" t="s">
        <v>37</v>
      </c>
      <c r="R39" s="61"/>
      <c r="S39" s="37"/>
      <c r="T39" s="37"/>
      <c r="U39" s="37"/>
    </row>
    <row r="40" s="1" customFormat="1" ht="15" hidden="1" spans="1:21">
      <c r="A40" s="20"/>
      <c r="B40" s="20"/>
      <c r="C40" s="20"/>
      <c r="D40" s="20"/>
      <c r="E40" s="20"/>
      <c r="F40" s="20"/>
      <c r="G40" s="22"/>
      <c r="H40" s="23"/>
      <c r="I40" s="23"/>
      <c r="J40" s="54"/>
      <c r="K40" s="54"/>
      <c r="L40" s="47"/>
      <c r="M40" s="48"/>
      <c r="N40" s="56" t="s">
        <v>91</v>
      </c>
      <c r="O40" s="38">
        <v>0.54</v>
      </c>
      <c r="P40" s="38">
        <v>16</v>
      </c>
      <c r="Q40" s="38" t="s">
        <v>37</v>
      </c>
      <c r="R40" s="61"/>
      <c r="S40" s="37"/>
      <c r="T40" s="37"/>
      <c r="U40" s="37"/>
    </row>
    <row r="41" s="1" customFormat="1" ht="15" hidden="1" spans="1:21">
      <c r="A41" s="24"/>
      <c r="B41" s="24"/>
      <c r="C41" s="24"/>
      <c r="D41" s="24"/>
      <c r="E41" s="24"/>
      <c r="F41" s="24"/>
      <c r="G41" s="26"/>
      <c r="H41" s="27"/>
      <c r="I41" s="27"/>
      <c r="J41" s="55"/>
      <c r="K41" s="55"/>
      <c r="L41" s="51"/>
      <c r="M41" s="52"/>
      <c r="N41" s="38" t="s">
        <v>92</v>
      </c>
      <c r="O41" s="38">
        <v>0.2</v>
      </c>
      <c r="P41" s="38">
        <v>1</v>
      </c>
      <c r="Q41" s="38" t="s">
        <v>44</v>
      </c>
      <c r="R41" s="62"/>
      <c r="S41" s="37"/>
      <c r="T41" s="37"/>
      <c r="U41" s="37"/>
    </row>
    <row r="42" s="1" customFormat="1" ht="15" hidden="1" spans="1:21">
      <c r="A42" s="20" t="s">
        <v>22</v>
      </c>
      <c r="B42" s="20" t="s">
        <v>30</v>
      </c>
      <c r="C42" s="20" t="s">
        <v>93</v>
      </c>
      <c r="D42" s="20" t="s">
        <v>32</v>
      </c>
      <c r="E42" s="20">
        <v>14</v>
      </c>
      <c r="F42" s="20">
        <v>5</v>
      </c>
      <c r="G42" s="22">
        <f>F42/E42</f>
        <v>0.357142857142857</v>
      </c>
      <c r="H42" s="23" t="s">
        <v>94</v>
      </c>
      <c r="I42" s="23" t="s">
        <v>95</v>
      </c>
      <c r="J42" s="20">
        <v>20.16</v>
      </c>
      <c r="K42" s="20">
        <v>27.27</v>
      </c>
      <c r="L42" s="47" t="s">
        <v>35</v>
      </c>
      <c r="M42" s="48">
        <f>J42/(J42+K42)</f>
        <v>0.425047438330171</v>
      </c>
      <c r="N42" s="38" t="s">
        <v>96</v>
      </c>
      <c r="O42" s="38">
        <v>3.14</v>
      </c>
      <c r="P42" s="38">
        <v>73</v>
      </c>
      <c r="Q42" s="38" t="s">
        <v>37</v>
      </c>
      <c r="R42" s="61" t="s">
        <v>27</v>
      </c>
      <c r="S42" s="37">
        <v>395</v>
      </c>
      <c r="T42" s="37"/>
      <c r="U42" s="37"/>
    </row>
    <row r="43" s="1" customFormat="1" ht="15" hidden="1" spans="1:21">
      <c r="A43" s="20"/>
      <c r="B43" s="20"/>
      <c r="C43" s="20"/>
      <c r="D43" s="20"/>
      <c r="E43" s="20"/>
      <c r="F43" s="20"/>
      <c r="G43" s="22"/>
      <c r="H43" s="23"/>
      <c r="I43" s="23"/>
      <c r="J43" s="20"/>
      <c r="K43" s="20"/>
      <c r="L43" s="47"/>
      <c r="M43" s="48"/>
      <c r="N43" s="38" t="s">
        <v>97</v>
      </c>
      <c r="O43" s="38">
        <v>3.74</v>
      </c>
      <c r="P43" s="38">
        <v>79</v>
      </c>
      <c r="Q43" s="38" t="s">
        <v>37</v>
      </c>
      <c r="R43" s="61"/>
      <c r="S43" s="37"/>
      <c r="T43" s="37"/>
      <c r="U43" s="37"/>
    </row>
    <row r="44" s="1" customFormat="1" ht="15" hidden="1" spans="1:21">
      <c r="A44" s="20"/>
      <c r="B44" s="20"/>
      <c r="C44" s="20"/>
      <c r="D44" s="20"/>
      <c r="E44" s="20"/>
      <c r="F44" s="20"/>
      <c r="G44" s="22"/>
      <c r="H44" s="23"/>
      <c r="I44" s="23"/>
      <c r="J44" s="20"/>
      <c r="K44" s="20"/>
      <c r="L44" s="47"/>
      <c r="M44" s="48"/>
      <c r="N44" s="38" t="s">
        <v>98</v>
      </c>
      <c r="O44" s="38">
        <v>3.56</v>
      </c>
      <c r="P44" s="38">
        <v>90</v>
      </c>
      <c r="Q44" s="38" t="s">
        <v>37</v>
      </c>
      <c r="R44" s="61"/>
      <c r="S44" s="37"/>
      <c r="T44" s="37"/>
      <c r="U44" s="37"/>
    </row>
    <row r="45" s="1" customFormat="1" ht="15" hidden="1" spans="1:21">
      <c r="A45" s="20"/>
      <c r="B45" s="20"/>
      <c r="C45" s="20"/>
      <c r="D45" s="20"/>
      <c r="E45" s="20"/>
      <c r="F45" s="20"/>
      <c r="G45" s="22"/>
      <c r="H45" s="23"/>
      <c r="I45" s="23"/>
      <c r="J45" s="20"/>
      <c r="K45" s="20"/>
      <c r="L45" s="47"/>
      <c r="M45" s="48"/>
      <c r="N45" s="38" t="s">
        <v>99</v>
      </c>
      <c r="O45" s="38">
        <v>4.67</v>
      </c>
      <c r="P45" s="38">
        <v>57</v>
      </c>
      <c r="Q45" s="38" t="s">
        <v>37</v>
      </c>
      <c r="R45" s="61"/>
      <c r="S45" s="37"/>
      <c r="T45" s="37"/>
      <c r="U45" s="37"/>
    </row>
    <row r="46" s="1" customFormat="1" ht="15" hidden="1" spans="1:21">
      <c r="A46" s="20"/>
      <c r="B46" s="20"/>
      <c r="C46" s="20"/>
      <c r="D46" s="20"/>
      <c r="E46" s="20"/>
      <c r="F46" s="20"/>
      <c r="G46" s="22"/>
      <c r="H46" s="23"/>
      <c r="I46" s="23"/>
      <c r="J46" s="20"/>
      <c r="K46" s="20"/>
      <c r="L46" s="47"/>
      <c r="M46" s="48"/>
      <c r="N46" s="38" t="s">
        <v>100</v>
      </c>
      <c r="O46" s="56">
        <v>1.65</v>
      </c>
      <c r="P46" s="38">
        <v>20</v>
      </c>
      <c r="Q46" s="38" t="s">
        <v>37</v>
      </c>
      <c r="R46" s="61"/>
      <c r="S46" s="37"/>
      <c r="T46" s="37"/>
      <c r="U46" s="37"/>
    </row>
    <row r="47" s="1" customFormat="1" ht="15" hidden="1" spans="1:21">
      <c r="A47" s="20"/>
      <c r="B47" s="20"/>
      <c r="C47" s="20"/>
      <c r="D47" s="20"/>
      <c r="E47" s="20"/>
      <c r="F47" s="20"/>
      <c r="G47" s="22"/>
      <c r="H47" s="23"/>
      <c r="I47" s="23"/>
      <c r="J47" s="20"/>
      <c r="K47" s="20"/>
      <c r="L47" s="47"/>
      <c r="M47" s="48"/>
      <c r="N47" s="38" t="s">
        <v>101</v>
      </c>
      <c r="O47" s="38">
        <v>1.69</v>
      </c>
      <c r="P47" s="38">
        <v>28</v>
      </c>
      <c r="Q47" s="38" t="s">
        <v>37</v>
      </c>
      <c r="R47" s="61"/>
      <c r="S47" s="37"/>
      <c r="T47" s="37"/>
      <c r="U47" s="37"/>
    </row>
    <row r="48" s="1" customFormat="1" ht="15" hidden="1" spans="1:21">
      <c r="A48" s="20"/>
      <c r="B48" s="20"/>
      <c r="C48" s="20"/>
      <c r="D48" s="20"/>
      <c r="E48" s="20"/>
      <c r="F48" s="20"/>
      <c r="G48" s="22"/>
      <c r="H48" s="23"/>
      <c r="I48" s="23"/>
      <c r="J48" s="20"/>
      <c r="K48" s="20"/>
      <c r="L48" s="47"/>
      <c r="M48" s="48"/>
      <c r="N48" s="38" t="s">
        <v>102</v>
      </c>
      <c r="O48" s="38">
        <v>1.76</v>
      </c>
      <c r="P48" s="38">
        <v>25</v>
      </c>
      <c r="Q48" s="38" t="s">
        <v>37</v>
      </c>
      <c r="R48" s="61"/>
      <c r="S48" s="37"/>
      <c r="T48" s="37"/>
      <c r="U48" s="37"/>
    </row>
    <row r="49" s="1" customFormat="1" ht="15" hidden="1" spans="1:21">
      <c r="A49" s="20"/>
      <c r="B49" s="20"/>
      <c r="C49" s="20"/>
      <c r="D49" s="20"/>
      <c r="E49" s="20"/>
      <c r="F49" s="20"/>
      <c r="G49" s="22"/>
      <c r="H49" s="23"/>
      <c r="I49" s="23"/>
      <c r="J49" s="20"/>
      <c r="K49" s="20"/>
      <c r="L49" s="47"/>
      <c r="M49" s="48"/>
      <c r="N49" s="38" t="s">
        <v>103</v>
      </c>
      <c r="O49" s="38">
        <v>2.25</v>
      </c>
      <c r="P49" s="38">
        <v>19</v>
      </c>
      <c r="Q49" s="38" t="s">
        <v>37</v>
      </c>
      <c r="R49" s="61"/>
      <c r="S49" s="37"/>
      <c r="T49" s="37"/>
      <c r="U49" s="37"/>
    </row>
    <row r="50" s="1" customFormat="1" ht="15" hidden="1" spans="1:21">
      <c r="A50" s="20"/>
      <c r="B50" s="20"/>
      <c r="C50" s="20"/>
      <c r="D50" s="20"/>
      <c r="E50" s="20"/>
      <c r="F50" s="20"/>
      <c r="G50" s="22"/>
      <c r="H50" s="23"/>
      <c r="I50" s="23"/>
      <c r="J50" s="20"/>
      <c r="K50" s="20"/>
      <c r="L50" s="47"/>
      <c r="M50" s="48"/>
      <c r="N50" s="38" t="s">
        <v>104</v>
      </c>
      <c r="O50" s="38">
        <v>4.81</v>
      </c>
      <c r="P50" s="38">
        <v>3</v>
      </c>
      <c r="Q50" s="38" t="s">
        <v>37</v>
      </c>
      <c r="R50" s="61"/>
      <c r="S50" s="37"/>
      <c r="T50" s="37"/>
      <c r="U50" s="37"/>
    </row>
    <row r="51" s="1" customFormat="1" ht="15" hidden="1" spans="1:21">
      <c r="A51" s="24"/>
      <c r="B51" s="24"/>
      <c r="C51" s="24"/>
      <c r="D51" s="24"/>
      <c r="E51" s="24"/>
      <c r="F51" s="24"/>
      <c r="G51" s="26"/>
      <c r="H51" s="27"/>
      <c r="I51" s="27"/>
      <c r="J51" s="24"/>
      <c r="K51" s="24"/>
      <c r="L51" s="51"/>
      <c r="M51" s="52"/>
      <c r="N51" s="38" t="s">
        <v>105</v>
      </c>
      <c r="O51" s="38">
        <v>0</v>
      </c>
      <c r="P51" s="38">
        <v>1</v>
      </c>
      <c r="Q51" s="38" t="s">
        <v>44</v>
      </c>
      <c r="R51" s="62"/>
      <c r="S51" s="37"/>
      <c r="T51" s="37"/>
      <c r="U51" s="37"/>
    </row>
    <row r="52" s="1" customFormat="1" ht="15" hidden="1" spans="1:21">
      <c r="A52" s="16" t="s">
        <v>22</v>
      </c>
      <c r="B52" s="16" t="s">
        <v>30</v>
      </c>
      <c r="C52" s="16" t="s">
        <v>106</v>
      </c>
      <c r="D52" s="16" t="s">
        <v>32</v>
      </c>
      <c r="E52" s="16">
        <v>8</v>
      </c>
      <c r="F52" s="16">
        <v>3</v>
      </c>
      <c r="G52" s="18">
        <f t="shared" ref="G52:G57" si="4">F52/E52</f>
        <v>0.375</v>
      </c>
      <c r="H52" s="19" t="s">
        <v>107</v>
      </c>
      <c r="I52" s="19" t="s">
        <v>108</v>
      </c>
      <c r="J52" s="53">
        <v>12.22</v>
      </c>
      <c r="K52" s="53">
        <v>9.77</v>
      </c>
      <c r="L52" s="40" t="s">
        <v>37</v>
      </c>
      <c r="M52" s="41">
        <f t="shared" ref="M52:M57" si="5">J52/(J52+K52)</f>
        <v>0.555707139608913</v>
      </c>
      <c r="N52" s="38" t="s">
        <v>109</v>
      </c>
      <c r="O52" s="38">
        <v>1.88</v>
      </c>
      <c r="P52" s="38">
        <v>67</v>
      </c>
      <c r="Q52" s="38" t="s">
        <v>37</v>
      </c>
      <c r="R52" s="60" t="s">
        <v>27</v>
      </c>
      <c r="S52" s="37">
        <v>228</v>
      </c>
      <c r="T52" s="37"/>
      <c r="U52" s="37"/>
    </row>
    <row r="53" s="1" customFormat="1" ht="15" hidden="1" spans="1:21">
      <c r="A53" s="20"/>
      <c r="B53" s="20"/>
      <c r="C53" s="20"/>
      <c r="D53" s="20"/>
      <c r="E53" s="20"/>
      <c r="F53" s="20"/>
      <c r="G53" s="22"/>
      <c r="H53" s="23"/>
      <c r="I53" s="23"/>
      <c r="J53" s="54"/>
      <c r="K53" s="20"/>
      <c r="L53" s="47"/>
      <c r="M53" s="48"/>
      <c r="N53" s="38" t="s">
        <v>110</v>
      </c>
      <c r="O53" s="38">
        <v>3.51</v>
      </c>
      <c r="P53" s="38">
        <v>84</v>
      </c>
      <c r="Q53" s="38" t="s">
        <v>37</v>
      </c>
      <c r="R53" s="61"/>
      <c r="S53" s="37"/>
      <c r="T53" s="37"/>
      <c r="U53" s="37"/>
    </row>
    <row r="54" s="1" customFormat="1" ht="15" hidden="1" spans="1:21">
      <c r="A54" s="24"/>
      <c r="B54" s="24"/>
      <c r="C54" s="24"/>
      <c r="D54" s="24"/>
      <c r="E54" s="24"/>
      <c r="F54" s="24"/>
      <c r="G54" s="26"/>
      <c r="H54" s="27"/>
      <c r="I54" s="27"/>
      <c r="J54" s="55"/>
      <c r="K54" s="24"/>
      <c r="L54" s="51"/>
      <c r="M54" s="52"/>
      <c r="N54" s="38" t="s">
        <v>111</v>
      </c>
      <c r="O54" s="38">
        <v>4.38</v>
      </c>
      <c r="P54" s="38">
        <v>77</v>
      </c>
      <c r="Q54" s="38" t="s">
        <v>37</v>
      </c>
      <c r="R54" s="62"/>
      <c r="S54" s="37"/>
      <c r="T54" s="37"/>
      <c r="U54" s="37"/>
    </row>
    <row r="55" s="1" customFormat="1" ht="75" hidden="1" spans="1:21">
      <c r="A55" s="13" t="s">
        <v>22</v>
      </c>
      <c r="B55" s="13" t="s">
        <v>30</v>
      </c>
      <c r="C55" s="13" t="s">
        <v>112</v>
      </c>
      <c r="D55" s="13" t="s">
        <v>25</v>
      </c>
      <c r="E55" s="13">
        <v>14</v>
      </c>
      <c r="F55" s="13">
        <v>7</v>
      </c>
      <c r="G55" s="14">
        <f t="shared" si="4"/>
        <v>0.5</v>
      </c>
      <c r="H55" s="15" t="s">
        <v>113</v>
      </c>
      <c r="I55" s="15"/>
      <c r="J55" s="57">
        <v>27.45</v>
      </c>
      <c r="K55" s="57">
        <v>0</v>
      </c>
      <c r="L55" s="34"/>
      <c r="M55" s="35">
        <f t="shared" si="5"/>
        <v>1</v>
      </c>
      <c r="N55" s="36"/>
      <c r="O55" s="37"/>
      <c r="P55" s="37"/>
      <c r="Q55" s="37"/>
      <c r="R55" s="45" t="s">
        <v>27</v>
      </c>
      <c r="S55" s="37"/>
      <c r="T55" s="37"/>
      <c r="U55" s="37"/>
    </row>
    <row r="56" s="1" customFormat="1" ht="90" hidden="1" spans="1:21">
      <c r="A56" s="13" t="s">
        <v>22</v>
      </c>
      <c r="B56" s="13" t="s">
        <v>30</v>
      </c>
      <c r="C56" s="13" t="s">
        <v>114</v>
      </c>
      <c r="D56" s="13" t="s">
        <v>25</v>
      </c>
      <c r="E56" s="13">
        <v>15</v>
      </c>
      <c r="F56" s="13">
        <v>6</v>
      </c>
      <c r="G56" s="14">
        <f t="shared" si="4"/>
        <v>0.4</v>
      </c>
      <c r="H56" s="15" t="s">
        <v>115</v>
      </c>
      <c r="I56" s="13"/>
      <c r="J56" s="58">
        <v>26.1</v>
      </c>
      <c r="K56" s="13">
        <v>0</v>
      </c>
      <c r="L56" s="34"/>
      <c r="M56" s="35">
        <f t="shared" si="5"/>
        <v>1</v>
      </c>
      <c r="N56" s="36"/>
      <c r="O56" s="37"/>
      <c r="P56" s="37"/>
      <c r="Q56" s="37"/>
      <c r="R56" s="45" t="s">
        <v>27</v>
      </c>
      <c r="S56" s="37"/>
      <c r="T56" s="37"/>
      <c r="U56" s="37"/>
    </row>
    <row r="57" s="1" customFormat="1" ht="15" hidden="1" spans="1:21">
      <c r="A57" s="13" t="s">
        <v>22</v>
      </c>
      <c r="B57" s="13" t="s">
        <v>30</v>
      </c>
      <c r="C57" s="13" t="s">
        <v>116</v>
      </c>
      <c r="D57" s="16" t="s">
        <v>32</v>
      </c>
      <c r="E57" s="16">
        <v>15</v>
      </c>
      <c r="F57" s="16">
        <v>3</v>
      </c>
      <c r="G57" s="18">
        <f t="shared" si="4"/>
        <v>0.2</v>
      </c>
      <c r="H57" s="19" t="s">
        <v>117</v>
      </c>
      <c r="I57" s="19" t="s">
        <v>118</v>
      </c>
      <c r="J57" s="16">
        <v>9.53</v>
      </c>
      <c r="K57" s="16">
        <v>26.46</v>
      </c>
      <c r="L57" s="40" t="s">
        <v>37</v>
      </c>
      <c r="M57" s="41">
        <f t="shared" si="5"/>
        <v>0.264795776604612</v>
      </c>
      <c r="N57" s="38" t="s">
        <v>119</v>
      </c>
      <c r="O57" s="38">
        <v>0.77</v>
      </c>
      <c r="P57" s="38">
        <v>10</v>
      </c>
      <c r="Q57" s="38" t="s">
        <v>37</v>
      </c>
      <c r="R57" s="60" t="s">
        <v>27</v>
      </c>
      <c r="S57" s="37">
        <v>502</v>
      </c>
      <c r="T57" s="37"/>
      <c r="U57" s="37"/>
    </row>
    <row r="58" s="1" customFormat="1" ht="15" hidden="1" spans="1:21">
      <c r="A58" s="13"/>
      <c r="B58" s="13"/>
      <c r="C58" s="13"/>
      <c r="D58" s="20"/>
      <c r="E58" s="20"/>
      <c r="F58" s="20"/>
      <c r="G58" s="22"/>
      <c r="H58" s="23"/>
      <c r="I58" s="23"/>
      <c r="J58" s="20"/>
      <c r="K58" s="20"/>
      <c r="L58" s="47"/>
      <c r="M58" s="48"/>
      <c r="N58" s="38" t="s">
        <v>120</v>
      </c>
      <c r="O58" s="38">
        <v>3.93</v>
      </c>
      <c r="P58" s="38">
        <v>82</v>
      </c>
      <c r="Q58" s="38" t="s">
        <v>37</v>
      </c>
      <c r="R58" s="61"/>
      <c r="S58" s="37"/>
      <c r="T58" s="37"/>
      <c r="U58" s="37"/>
    </row>
    <row r="59" s="1" customFormat="1" ht="15" hidden="1" spans="1:21">
      <c r="A59" s="13"/>
      <c r="B59" s="13"/>
      <c r="C59" s="13"/>
      <c r="D59" s="20"/>
      <c r="E59" s="20"/>
      <c r="F59" s="20"/>
      <c r="G59" s="22"/>
      <c r="H59" s="23"/>
      <c r="I59" s="23"/>
      <c r="J59" s="20"/>
      <c r="K59" s="20"/>
      <c r="L59" s="47"/>
      <c r="M59" s="48"/>
      <c r="N59" s="38" t="s">
        <v>121</v>
      </c>
      <c r="O59" s="38">
        <v>0</v>
      </c>
      <c r="P59" s="38">
        <v>2</v>
      </c>
      <c r="Q59" s="38" t="s">
        <v>37</v>
      </c>
      <c r="R59" s="61"/>
      <c r="S59" s="37"/>
      <c r="T59" s="37"/>
      <c r="U59" s="37"/>
    </row>
    <row r="60" s="1" customFormat="1" ht="15" hidden="1" spans="1:21">
      <c r="A60" s="13"/>
      <c r="B60" s="13"/>
      <c r="C60" s="13"/>
      <c r="D60" s="20"/>
      <c r="E60" s="20"/>
      <c r="F60" s="20"/>
      <c r="G60" s="22"/>
      <c r="H60" s="23"/>
      <c r="I60" s="23"/>
      <c r="J60" s="20"/>
      <c r="K60" s="20"/>
      <c r="L60" s="47"/>
      <c r="M60" s="48"/>
      <c r="N60" s="38" t="s">
        <v>122</v>
      </c>
      <c r="O60" s="38">
        <v>5.26</v>
      </c>
      <c r="P60" s="38">
        <v>88</v>
      </c>
      <c r="Q60" s="38" t="s">
        <v>37</v>
      </c>
      <c r="R60" s="61"/>
      <c r="S60" s="37"/>
      <c r="T60" s="37"/>
      <c r="U60" s="37"/>
    </row>
    <row r="61" s="1" customFormat="1" ht="15" hidden="1" spans="1:21">
      <c r="A61" s="13"/>
      <c r="B61" s="13"/>
      <c r="C61" s="13"/>
      <c r="D61" s="20"/>
      <c r="E61" s="20"/>
      <c r="F61" s="20"/>
      <c r="G61" s="22"/>
      <c r="H61" s="23"/>
      <c r="I61" s="23"/>
      <c r="J61" s="20"/>
      <c r="K61" s="20"/>
      <c r="L61" s="47"/>
      <c r="M61" s="48"/>
      <c r="N61" s="38" t="s">
        <v>123</v>
      </c>
      <c r="O61" s="38">
        <v>3.83</v>
      </c>
      <c r="P61" s="38">
        <v>93</v>
      </c>
      <c r="Q61" s="38" t="s">
        <v>37</v>
      </c>
      <c r="R61" s="61"/>
      <c r="S61" s="37"/>
      <c r="T61" s="37"/>
      <c r="U61" s="37"/>
    </row>
    <row r="62" s="1" customFormat="1" ht="15" hidden="1" spans="1:21">
      <c r="A62" s="13"/>
      <c r="B62" s="13"/>
      <c r="C62" s="13"/>
      <c r="D62" s="20"/>
      <c r="E62" s="20"/>
      <c r="F62" s="20"/>
      <c r="G62" s="22"/>
      <c r="H62" s="23"/>
      <c r="I62" s="23"/>
      <c r="J62" s="20"/>
      <c r="K62" s="20"/>
      <c r="L62" s="47"/>
      <c r="M62" s="48"/>
      <c r="N62" s="38" t="s">
        <v>124</v>
      </c>
      <c r="O62" s="38">
        <v>3.84</v>
      </c>
      <c r="P62" s="38">
        <v>81</v>
      </c>
      <c r="Q62" s="38" t="s">
        <v>37</v>
      </c>
      <c r="R62" s="61"/>
      <c r="S62" s="37"/>
      <c r="T62" s="37"/>
      <c r="U62" s="37"/>
    </row>
    <row r="63" s="1" customFormat="1" ht="15" hidden="1" spans="1:21">
      <c r="A63" s="13"/>
      <c r="B63" s="13"/>
      <c r="C63" s="13"/>
      <c r="D63" s="20"/>
      <c r="E63" s="20"/>
      <c r="F63" s="20"/>
      <c r="G63" s="22"/>
      <c r="H63" s="23"/>
      <c r="I63" s="23"/>
      <c r="J63" s="20"/>
      <c r="K63" s="20"/>
      <c r="L63" s="47"/>
      <c r="M63" s="48"/>
      <c r="N63" s="38" t="s">
        <v>125</v>
      </c>
      <c r="O63" s="38">
        <v>0</v>
      </c>
      <c r="P63" s="38">
        <v>1</v>
      </c>
      <c r="Q63" s="38" t="s">
        <v>44</v>
      </c>
      <c r="R63" s="61"/>
      <c r="S63" s="37"/>
      <c r="T63" s="37"/>
      <c r="U63" s="37"/>
    </row>
    <row r="64" s="1" customFormat="1" ht="15" hidden="1" spans="1:21">
      <c r="A64" s="13"/>
      <c r="B64" s="13"/>
      <c r="C64" s="13"/>
      <c r="D64" s="20"/>
      <c r="E64" s="20"/>
      <c r="F64" s="20"/>
      <c r="G64" s="22"/>
      <c r="H64" s="23"/>
      <c r="I64" s="23"/>
      <c r="J64" s="20"/>
      <c r="K64" s="20"/>
      <c r="L64" s="47"/>
      <c r="M64" s="48"/>
      <c r="N64" s="38" t="s">
        <v>126</v>
      </c>
      <c r="O64" s="38">
        <v>0.7</v>
      </c>
      <c r="P64" s="38">
        <v>14</v>
      </c>
      <c r="Q64" s="38" t="s">
        <v>37</v>
      </c>
      <c r="R64" s="61"/>
      <c r="S64" s="37"/>
      <c r="T64" s="37"/>
      <c r="U64" s="37"/>
    </row>
    <row r="65" s="1" customFormat="1" ht="15" hidden="1" spans="1:21">
      <c r="A65" s="13"/>
      <c r="B65" s="13"/>
      <c r="C65" s="13"/>
      <c r="D65" s="20"/>
      <c r="E65" s="20"/>
      <c r="F65" s="20"/>
      <c r="G65" s="22"/>
      <c r="H65" s="23"/>
      <c r="I65" s="23"/>
      <c r="J65" s="20"/>
      <c r="K65" s="20"/>
      <c r="L65" s="47"/>
      <c r="M65" s="48"/>
      <c r="N65" s="38" t="s">
        <v>127</v>
      </c>
      <c r="O65" s="38">
        <v>0</v>
      </c>
      <c r="P65" s="38">
        <v>1</v>
      </c>
      <c r="Q65" s="38" t="s">
        <v>37</v>
      </c>
      <c r="R65" s="61"/>
      <c r="S65" s="37"/>
      <c r="T65" s="37"/>
      <c r="U65" s="37"/>
    </row>
    <row r="66" s="1" customFormat="1" ht="15" hidden="1" spans="1:21">
      <c r="A66" s="13"/>
      <c r="B66" s="13"/>
      <c r="C66" s="13"/>
      <c r="D66" s="20"/>
      <c r="E66" s="20"/>
      <c r="F66" s="20"/>
      <c r="G66" s="22"/>
      <c r="H66" s="23"/>
      <c r="I66" s="23"/>
      <c r="J66" s="20"/>
      <c r="K66" s="20"/>
      <c r="L66" s="47"/>
      <c r="M66" s="48"/>
      <c r="N66" s="38" t="s">
        <v>128</v>
      </c>
      <c r="O66" s="38">
        <v>2.89</v>
      </c>
      <c r="P66" s="38">
        <v>79</v>
      </c>
      <c r="Q66" s="38" t="s">
        <v>37</v>
      </c>
      <c r="R66" s="61"/>
      <c r="S66" s="37"/>
      <c r="T66" s="37"/>
      <c r="U66" s="37"/>
    </row>
    <row r="67" s="1" customFormat="1" ht="15" hidden="1" spans="1:21">
      <c r="A67" s="13"/>
      <c r="B67" s="13"/>
      <c r="C67" s="13"/>
      <c r="D67" s="20"/>
      <c r="E67" s="20"/>
      <c r="F67" s="20"/>
      <c r="G67" s="22"/>
      <c r="H67" s="23"/>
      <c r="I67" s="23"/>
      <c r="J67" s="20"/>
      <c r="K67" s="20"/>
      <c r="L67" s="47"/>
      <c r="M67" s="48"/>
      <c r="N67" s="38" t="s">
        <v>129</v>
      </c>
      <c r="O67" s="38">
        <v>2.09</v>
      </c>
      <c r="P67" s="38">
        <v>51</v>
      </c>
      <c r="Q67" s="38" t="s">
        <v>37</v>
      </c>
      <c r="R67" s="61"/>
      <c r="S67" s="37"/>
      <c r="T67" s="37"/>
      <c r="U67" s="37"/>
    </row>
    <row r="68" s="1" customFormat="1" ht="15" hidden="1" spans="1:21">
      <c r="A68" s="13"/>
      <c r="B68" s="13"/>
      <c r="C68" s="13"/>
      <c r="D68" s="24"/>
      <c r="E68" s="24"/>
      <c r="F68" s="24"/>
      <c r="G68" s="26"/>
      <c r="H68" s="27"/>
      <c r="I68" s="27"/>
      <c r="J68" s="24"/>
      <c r="K68" s="24"/>
      <c r="L68" s="51"/>
      <c r="M68" s="52"/>
      <c r="N68" s="38" t="s">
        <v>130</v>
      </c>
      <c r="O68" s="38">
        <v>3.15</v>
      </c>
      <c r="P68" s="38"/>
      <c r="Q68" s="38" t="s">
        <v>37</v>
      </c>
      <c r="R68" s="62"/>
      <c r="S68" s="37"/>
      <c r="T68" s="37"/>
      <c r="U68" s="37"/>
    </row>
    <row r="69" s="1" customFormat="1" ht="85" hidden="1" customHeight="1" spans="1:21">
      <c r="A69" s="13" t="s">
        <v>22</v>
      </c>
      <c r="B69" s="13" t="s">
        <v>30</v>
      </c>
      <c r="C69" s="13" t="s">
        <v>131</v>
      </c>
      <c r="D69" s="13" t="s">
        <v>25</v>
      </c>
      <c r="E69" s="13">
        <v>14</v>
      </c>
      <c r="F69" s="13">
        <v>8</v>
      </c>
      <c r="G69" s="14">
        <f>F69/E69</f>
        <v>0.571428571428571</v>
      </c>
      <c r="H69" s="15" t="s">
        <v>132</v>
      </c>
      <c r="I69" s="13"/>
      <c r="J69" s="13">
        <v>4.94</v>
      </c>
      <c r="K69" s="13">
        <v>0</v>
      </c>
      <c r="L69" s="34"/>
      <c r="M69" s="35">
        <f>J69/(J69+K69)</f>
        <v>1</v>
      </c>
      <c r="N69" s="36"/>
      <c r="O69" s="37"/>
      <c r="P69" s="37"/>
      <c r="Q69" s="37"/>
      <c r="R69" s="45" t="s">
        <v>27</v>
      </c>
      <c r="S69" s="37"/>
      <c r="T69" s="37"/>
      <c r="U69" s="37"/>
    </row>
    <row r="70" s="1" customFormat="1" ht="15" hidden="1" spans="1:21">
      <c r="A70" s="16" t="s">
        <v>22</v>
      </c>
      <c r="B70" s="16" t="s">
        <v>30</v>
      </c>
      <c r="C70" s="16" t="s">
        <v>133</v>
      </c>
      <c r="D70" s="16" t="s">
        <v>32</v>
      </c>
      <c r="E70" s="16">
        <v>13</v>
      </c>
      <c r="F70" s="16">
        <v>7</v>
      </c>
      <c r="G70" s="18">
        <f>F70/E70</f>
        <v>0.538461538461538</v>
      </c>
      <c r="H70" s="19" t="s">
        <v>134</v>
      </c>
      <c r="I70" s="19" t="s">
        <v>135</v>
      </c>
      <c r="J70" s="16">
        <v>18.62</v>
      </c>
      <c r="K70" s="16">
        <v>17.87</v>
      </c>
      <c r="L70" s="40" t="s">
        <v>35</v>
      </c>
      <c r="M70" s="41">
        <f>J70/(J70+K70)</f>
        <v>0.51027678816114</v>
      </c>
      <c r="N70" s="38" t="s">
        <v>136</v>
      </c>
      <c r="O70" s="38">
        <v>6.91</v>
      </c>
      <c r="P70" s="38">
        <v>76</v>
      </c>
      <c r="Q70" s="38" t="s">
        <v>37</v>
      </c>
      <c r="R70" s="60" t="s">
        <v>27</v>
      </c>
      <c r="S70" s="37">
        <v>116</v>
      </c>
      <c r="T70" s="37"/>
      <c r="U70" s="37"/>
    </row>
    <row r="71" s="1" customFormat="1" ht="15" hidden="1" spans="1:21">
      <c r="A71" s="20"/>
      <c r="B71" s="20"/>
      <c r="C71" s="20"/>
      <c r="D71" s="20"/>
      <c r="E71" s="20"/>
      <c r="F71" s="20"/>
      <c r="G71" s="22"/>
      <c r="H71" s="23"/>
      <c r="I71" s="23"/>
      <c r="J71" s="20"/>
      <c r="K71" s="20"/>
      <c r="L71" s="47"/>
      <c r="M71" s="48"/>
      <c r="N71" s="38" t="s">
        <v>137</v>
      </c>
      <c r="O71" s="38">
        <v>1.99</v>
      </c>
      <c r="P71" s="38">
        <v>36</v>
      </c>
      <c r="Q71" s="38" t="s">
        <v>37</v>
      </c>
      <c r="R71" s="61"/>
      <c r="S71" s="37"/>
      <c r="T71" s="37"/>
      <c r="U71" s="37"/>
    </row>
    <row r="72" s="1" customFormat="1" ht="15" hidden="1" spans="1:21">
      <c r="A72" s="20"/>
      <c r="B72" s="20"/>
      <c r="C72" s="20"/>
      <c r="D72" s="20"/>
      <c r="E72" s="20"/>
      <c r="F72" s="20"/>
      <c r="G72" s="22"/>
      <c r="H72" s="23"/>
      <c r="I72" s="23"/>
      <c r="J72" s="20"/>
      <c r="K72" s="20"/>
      <c r="L72" s="47"/>
      <c r="M72" s="48"/>
      <c r="N72" s="38" t="s">
        <v>138</v>
      </c>
      <c r="O72" s="38">
        <v>4.42</v>
      </c>
      <c r="P72" s="38">
        <v>1</v>
      </c>
      <c r="Q72" s="38" t="s">
        <v>44</v>
      </c>
      <c r="R72" s="61"/>
      <c r="S72" s="37"/>
      <c r="T72" s="37"/>
      <c r="U72" s="37"/>
    </row>
    <row r="73" s="1" customFormat="1" ht="15" hidden="1" spans="1:21">
      <c r="A73" s="20"/>
      <c r="B73" s="20"/>
      <c r="C73" s="20"/>
      <c r="D73" s="20"/>
      <c r="E73" s="20"/>
      <c r="F73" s="20"/>
      <c r="G73" s="22"/>
      <c r="H73" s="23"/>
      <c r="I73" s="23"/>
      <c r="J73" s="20"/>
      <c r="K73" s="20"/>
      <c r="L73" s="47"/>
      <c r="M73" s="48"/>
      <c r="N73" s="38" t="s">
        <v>139</v>
      </c>
      <c r="O73" s="38">
        <v>4.55</v>
      </c>
      <c r="P73" s="38">
        <v>1</v>
      </c>
      <c r="Q73" s="38" t="s">
        <v>44</v>
      </c>
      <c r="R73" s="61"/>
      <c r="S73" s="37"/>
      <c r="T73" s="37"/>
      <c r="U73" s="37"/>
    </row>
    <row r="74" s="1" customFormat="1" ht="15" hidden="1" spans="1:21">
      <c r="A74" s="20"/>
      <c r="B74" s="20"/>
      <c r="C74" s="20"/>
      <c r="D74" s="20"/>
      <c r="E74" s="20"/>
      <c r="F74" s="20"/>
      <c r="G74" s="22"/>
      <c r="H74" s="23"/>
      <c r="I74" s="23"/>
      <c r="J74" s="20"/>
      <c r="K74" s="20"/>
      <c r="L74" s="47"/>
      <c r="M74" s="48"/>
      <c r="N74" s="38" t="s">
        <v>140</v>
      </c>
      <c r="O74" s="38">
        <v>0</v>
      </c>
      <c r="P74" s="38">
        <v>1</v>
      </c>
      <c r="Q74" s="38" t="s">
        <v>44</v>
      </c>
      <c r="R74" s="61"/>
      <c r="S74" s="37"/>
      <c r="T74" s="37"/>
      <c r="U74" s="37"/>
    </row>
    <row r="75" s="1" customFormat="1" ht="15" hidden="1" spans="1:21">
      <c r="A75" s="24"/>
      <c r="B75" s="24"/>
      <c r="C75" s="24"/>
      <c r="D75" s="24"/>
      <c r="E75" s="24"/>
      <c r="F75" s="24"/>
      <c r="G75" s="26"/>
      <c r="H75" s="27"/>
      <c r="I75" s="27"/>
      <c r="J75" s="24"/>
      <c r="K75" s="24"/>
      <c r="L75" s="51"/>
      <c r="M75" s="52"/>
      <c r="N75" s="38" t="s">
        <v>141</v>
      </c>
      <c r="O75" s="38">
        <v>0</v>
      </c>
      <c r="P75" s="38">
        <v>1</v>
      </c>
      <c r="Q75" s="38" t="s">
        <v>44</v>
      </c>
      <c r="R75" s="62"/>
      <c r="S75" s="37"/>
      <c r="T75" s="37"/>
      <c r="U75" s="37"/>
    </row>
    <row r="76" s="1" customFormat="1" ht="15" hidden="1" spans="1:21">
      <c r="A76" s="65" t="s">
        <v>22</v>
      </c>
      <c r="B76" s="65" t="s">
        <v>30</v>
      </c>
      <c r="C76" s="65" t="s">
        <v>142</v>
      </c>
      <c r="D76" s="65" t="s">
        <v>32</v>
      </c>
      <c r="E76" s="65">
        <v>15</v>
      </c>
      <c r="F76" s="65">
        <v>3</v>
      </c>
      <c r="G76" s="22">
        <f>F76/E76</f>
        <v>0.2</v>
      </c>
      <c r="H76" s="66" t="s">
        <v>143</v>
      </c>
      <c r="I76" s="23" t="s">
        <v>144</v>
      </c>
      <c r="J76" s="65">
        <v>19.52</v>
      </c>
      <c r="K76" s="65">
        <v>14.25</v>
      </c>
      <c r="L76" s="47" t="s">
        <v>37</v>
      </c>
      <c r="M76" s="83">
        <f>J76/(J76+K76)</f>
        <v>0.578027835356826</v>
      </c>
      <c r="N76" s="84" t="s">
        <v>145</v>
      </c>
      <c r="O76" s="85">
        <v>1.92</v>
      </c>
      <c r="P76" s="85">
        <v>12</v>
      </c>
      <c r="Q76" s="38" t="s">
        <v>37</v>
      </c>
      <c r="R76" s="103" t="s">
        <v>27</v>
      </c>
      <c r="S76" s="37">
        <v>209</v>
      </c>
      <c r="T76" s="37"/>
      <c r="U76" s="37"/>
    </row>
    <row r="77" s="1" customFormat="1" ht="15" hidden="1" spans="1:21">
      <c r="A77" s="65"/>
      <c r="B77" s="65"/>
      <c r="C77" s="65"/>
      <c r="D77" s="65"/>
      <c r="E77" s="65"/>
      <c r="F77" s="65"/>
      <c r="G77" s="22"/>
      <c r="H77" s="66"/>
      <c r="I77" s="23"/>
      <c r="J77" s="65"/>
      <c r="K77" s="65"/>
      <c r="L77" s="47"/>
      <c r="M77" s="83"/>
      <c r="N77" s="84" t="s">
        <v>146</v>
      </c>
      <c r="O77" s="85">
        <v>3.17</v>
      </c>
      <c r="P77" s="85">
        <v>87</v>
      </c>
      <c r="Q77" s="38" t="s">
        <v>37</v>
      </c>
      <c r="R77" s="103"/>
      <c r="S77" s="37"/>
      <c r="T77" s="37"/>
      <c r="U77" s="37"/>
    </row>
    <row r="78" s="1" customFormat="1" ht="15" hidden="1" spans="1:21">
      <c r="A78" s="65"/>
      <c r="B78" s="65"/>
      <c r="C78" s="65"/>
      <c r="D78" s="65"/>
      <c r="E78" s="65"/>
      <c r="F78" s="65"/>
      <c r="G78" s="22"/>
      <c r="H78" s="66"/>
      <c r="I78" s="23"/>
      <c r="J78" s="65"/>
      <c r="K78" s="65"/>
      <c r="L78" s="47"/>
      <c r="M78" s="83"/>
      <c r="N78" s="84" t="s">
        <v>147</v>
      </c>
      <c r="O78" s="85">
        <v>1.86</v>
      </c>
      <c r="P78" s="85">
        <v>25</v>
      </c>
      <c r="Q78" s="38" t="s">
        <v>37</v>
      </c>
      <c r="R78" s="103"/>
      <c r="S78" s="37"/>
      <c r="T78" s="37"/>
      <c r="U78" s="37"/>
    </row>
    <row r="79" s="1" customFormat="1" ht="15" hidden="1" spans="1:21">
      <c r="A79" s="65"/>
      <c r="B79" s="65"/>
      <c r="C79" s="65"/>
      <c r="D79" s="65"/>
      <c r="E79" s="65"/>
      <c r="F79" s="65"/>
      <c r="G79" s="22"/>
      <c r="H79" s="66"/>
      <c r="I79" s="23"/>
      <c r="J79" s="65"/>
      <c r="K79" s="65"/>
      <c r="L79" s="47"/>
      <c r="M79" s="83"/>
      <c r="N79" s="84" t="s">
        <v>148</v>
      </c>
      <c r="O79" s="85">
        <v>5.16</v>
      </c>
      <c r="P79" s="85">
        <v>59</v>
      </c>
      <c r="Q79" s="38" t="s">
        <v>37</v>
      </c>
      <c r="R79" s="103"/>
      <c r="S79" s="37"/>
      <c r="T79" s="37"/>
      <c r="U79" s="37"/>
    </row>
    <row r="80" s="1" customFormat="1" ht="15" hidden="1" spans="1:21">
      <c r="A80" s="67"/>
      <c r="B80" s="67"/>
      <c r="C80" s="67"/>
      <c r="D80" s="67"/>
      <c r="E80" s="67"/>
      <c r="F80" s="67"/>
      <c r="G80" s="26"/>
      <c r="H80" s="68"/>
      <c r="I80" s="27"/>
      <c r="J80" s="67"/>
      <c r="K80" s="67"/>
      <c r="L80" s="51"/>
      <c r="M80" s="86"/>
      <c r="N80" s="84" t="s">
        <v>149</v>
      </c>
      <c r="O80" s="85">
        <v>2.14</v>
      </c>
      <c r="P80" s="87">
        <v>26</v>
      </c>
      <c r="Q80" s="38" t="s">
        <v>37</v>
      </c>
      <c r="R80" s="104"/>
      <c r="S80" s="37"/>
      <c r="T80" s="37"/>
      <c r="U80" s="37"/>
    </row>
    <row r="81" s="1" customFormat="1" ht="45" hidden="1" spans="1:21">
      <c r="A81" s="13" t="s">
        <v>22</v>
      </c>
      <c r="B81" s="13" t="s">
        <v>30</v>
      </c>
      <c r="C81" s="13" t="s">
        <v>150</v>
      </c>
      <c r="D81" s="13" t="s">
        <v>25</v>
      </c>
      <c r="E81" s="13">
        <v>11</v>
      </c>
      <c r="F81" s="13">
        <v>7</v>
      </c>
      <c r="G81" s="14">
        <f>F81/E81</f>
        <v>0.636363636363636</v>
      </c>
      <c r="H81" s="15" t="s">
        <v>151</v>
      </c>
      <c r="I81" s="13"/>
      <c r="J81" s="13">
        <v>8.09</v>
      </c>
      <c r="K81" s="13">
        <v>0</v>
      </c>
      <c r="L81" s="34"/>
      <c r="M81" s="35">
        <f>J81/(J81+K81)</f>
        <v>1</v>
      </c>
      <c r="N81" s="36"/>
      <c r="O81" s="37"/>
      <c r="P81" s="37"/>
      <c r="Q81" s="37"/>
      <c r="R81" s="45" t="s">
        <v>27</v>
      </c>
      <c r="S81" s="37"/>
      <c r="T81" s="37"/>
      <c r="U81" s="37"/>
    </row>
    <row r="82" s="1" customFormat="1" ht="51" hidden="1" customHeight="1" spans="1:21">
      <c r="A82" s="13" t="s">
        <v>22</v>
      </c>
      <c r="B82" s="13" t="s">
        <v>30</v>
      </c>
      <c r="C82" s="13" t="s">
        <v>152</v>
      </c>
      <c r="D82" s="13" t="s">
        <v>25</v>
      </c>
      <c r="E82" s="13">
        <v>8</v>
      </c>
      <c r="F82" s="13">
        <v>6</v>
      </c>
      <c r="G82" s="14">
        <f>F82/E82</f>
        <v>0.75</v>
      </c>
      <c r="H82" s="15" t="s">
        <v>153</v>
      </c>
      <c r="I82" s="13"/>
      <c r="J82" s="13">
        <v>5.11</v>
      </c>
      <c r="K82" s="13">
        <v>0</v>
      </c>
      <c r="L82" s="34"/>
      <c r="M82" s="35">
        <f>J82/(J82+K82)</f>
        <v>1</v>
      </c>
      <c r="N82" s="36"/>
      <c r="O82" s="37"/>
      <c r="P82" s="37"/>
      <c r="Q82" s="37"/>
      <c r="R82" s="45" t="s">
        <v>52</v>
      </c>
      <c r="S82" s="37"/>
      <c r="T82" s="37"/>
      <c r="U82" s="37"/>
    </row>
    <row r="83" s="1" customFormat="1" ht="30" hidden="1" spans="1:21">
      <c r="A83" s="13" t="s">
        <v>22</v>
      </c>
      <c r="B83" s="13" t="s">
        <v>30</v>
      </c>
      <c r="C83" s="13" t="s">
        <v>154</v>
      </c>
      <c r="D83" s="13" t="s">
        <v>25</v>
      </c>
      <c r="E83" s="13">
        <v>15</v>
      </c>
      <c r="F83" s="13">
        <v>14</v>
      </c>
      <c r="G83" s="14">
        <f>F83/E83</f>
        <v>0.933333333333333</v>
      </c>
      <c r="H83" s="15" t="s">
        <v>155</v>
      </c>
      <c r="I83" s="13"/>
      <c r="J83" s="13">
        <v>39.38</v>
      </c>
      <c r="K83" s="13">
        <v>0</v>
      </c>
      <c r="L83" s="34"/>
      <c r="M83" s="35">
        <f>J83/(J83+K83)</f>
        <v>1</v>
      </c>
      <c r="N83" s="36"/>
      <c r="O83" s="37"/>
      <c r="P83" s="37"/>
      <c r="Q83" s="37"/>
      <c r="R83" s="45" t="s">
        <v>52</v>
      </c>
      <c r="S83" s="37"/>
      <c r="T83" s="37"/>
      <c r="U83" s="37"/>
    </row>
    <row r="84" s="1" customFormat="1" ht="36" hidden="1" customHeight="1" spans="1:21">
      <c r="A84" s="13" t="s">
        <v>22</v>
      </c>
      <c r="B84" s="13" t="s">
        <v>30</v>
      </c>
      <c r="C84" s="13" t="s">
        <v>156</v>
      </c>
      <c r="D84" s="69" t="s">
        <v>25</v>
      </c>
      <c r="E84" s="13">
        <v>3</v>
      </c>
      <c r="F84" s="13">
        <v>2</v>
      </c>
      <c r="G84" s="14">
        <f>F84/E84</f>
        <v>0.666666666666667</v>
      </c>
      <c r="H84" s="15" t="s">
        <v>157</v>
      </c>
      <c r="I84" s="13"/>
      <c r="J84" s="13">
        <v>2.59</v>
      </c>
      <c r="K84" s="13">
        <v>0</v>
      </c>
      <c r="L84" s="34"/>
      <c r="M84" s="35">
        <f>J84/(J84+K84)</f>
        <v>1</v>
      </c>
      <c r="N84" s="36"/>
      <c r="O84" s="37"/>
      <c r="P84" s="37"/>
      <c r="Q84" s="37"/>
      <c r="R84" s="45" t="s">
        <v>52</v>
      </c>
      <c r="S84" s="37"/>
      <c r="T84" s="37"/>
      <c r="U84" s="37"/>
    </row>
    <row r="85" s="1" customFormat="1" ht="30" hidden="1" spans="1:21">
      <c r="A85" s="13" t="s">
        <v>22</v>
      </c>
      <c r="B85" s="13" t="s">
        <v>158</v>
      </c>
      <c r="C85" s="13" t="s">
        <v>159</v>
      </c>
      <c r="D85" s="13" t="s">
        <v>25</v>
      </c>
      <c r="E85" s="13">
        <v>5</v>
      </c>
      <c r="F85" s="13">
        <v>3</v>
      </c>
      <c r="G85" s="14">
        <f t="shared" ref="G85:G109" si="6">F85/E85</f>
        <v>0.6</v>
      </c>
      <c r="H85" s="15" t="s">
        <v>160</v>
      </c>
      <c r="I85" s="13"/>
      <c r="J85" s="13">
        <v>8.51</v>
      </c>
      <c r="K85" s="13">
        <v>0</v>
      </c>
      <c r="L85" s="34"/>
      <c r="M85" s="35">
        <f t="shared" ref="M85:M92" si="7">J85/(J85+K85)</f>
        <v>1</v>
      </c>
      <c r="N85" s="36"/>
      <c r="O85" s="37"/>
      <c r="P85" s="37"/>
      <c r="Q85" s="37"/>
      <c r="R85" s="45" t="s">
        <v>27</v>
      </c>
      <c r="S85" s="37"/>
      <c r="T85" s="37"/>
      <c r="U85" s="37"/>
    </row>
    <row r="86" s="1" customFormat="1" ht="43" hidden="1" customHeight="1" spans="1:21">
      <c r="A86" s="13" t="s">
        <v>22</v>
      </c>
      <c r="B86" s="13" t="s">
        <v>158</v>
      </c>
      <c r="C86" s="13" t="s">
        <v>161</v>
      </c>
      <c r="D86" s="13" t="s">
        <v>25</v>
      </c>
      <c r="E86" s="13">
        <v>8</v>
      </c>
      <c r="F86" s="13">
        <v>8</v>
      </c>
      <c r="G86" s="14">
        <f t="shared" si="6"/>
        <v>1</v>
      </c>
      <c r="H86" s="13">
        <v>0</v>
      </c>
      <c r="I86" s="13"/>
      <c r="J86" s="13">
        <v>18.29</v>
      </c>
      <c r="K86" s="13">
        <v>0</v>
      </c>
      <c r="L86" s="34"/>
      <c r="M86" s="35">
        <f t="shared" si="7"/>
        <v>1</v>
      </c>
      <c r="N86" s="36"/>
      <c r="O86" s="37"/>
      <c r="P86" s="37"/>
      <c r="Q86" s="37"/>
      <c r="R86" s="45" t="s">
        <v>52</v>
      </c>
      <c r="S86" s="37"/>
      <c r="T86" s="37"/>
      <c r="U86" s="37"/>
    </row>
    <row r="87" s="1" customFormat="1" ht="73" hidden="1" customHeight="1" spans="1:21">
      <c r="A87" s="24" t="s">
        <v>22</v>
      </c>
      <c r="B87" s="24" t="s">
        <v>158</v>
      </c>
      <c r="C87" s="24" t="s">
        <v>162</v>
      </c>
      <c r="D87" s="24" t="s">
        <v>25</v>
      </c>
      <c r="E87" s="24">
        <v>8</v>
      </c>
      <c r="F87" s="24">
        <v>4</v>
      </c>
      <c r="G87" s="14">
        <f t="shared" si="6"/>
        <v>0.5</v>
      </c>
      <c r="H87" s="15" t="s">
        <v>163</v>
      </c>
      <c r="I87" s="13"/>
      <c r="J87" s="13">
        <v>13.52</v>
      </c>
      <c r="K87" s="13">
        <v>0</v>
      </c>
      <c r="L87" s="34"/>
      <c r="M87" s="35">
        <f t="shared" si="7"/>
        <v>1</v>
      </c>
      <c r="N87" s="36"/>
      <c r="O87" s="37"/>
      <c r="P87" s="37"/>
      <c r="Q87" s="37"/>
      <c r="R87" s="45" t="s">
        <v>27</v>
      </c>
      <c r="S87" s="37"/>
      <c r="T87" s="37"/>
      <c r="U87" s="37"/>
    </row>
    <row r="88" s="1" customFormat="1" ht="42" hidden="1" customHeight="1" spans="1:21">
      <c r="A88" s="13" t="s">
        <v>22</v>
      </c>
      <c r="B88" s="13" t="s">
        <v>158</v>
      </c>
      <c r="C88" s="13" t="s">
        <v>164</v>
      </c>
      <c r="D88" s="13" t="s">
        <v>25</v>
      </c>
      <c r="E88" s="13">
        <v>8</v>
      </c>
      <c r="F88" s="13">
        <v>6</v>
      </c>
      <c r="G88" s="14">
        <f t="shared" si="6"/>
        <v>0.75</v>
      </c>
      <c r="H88" s="15" t="s">
        <v>165</v>
      </c>
      <c r="I88" s="13"/>
      <c r="J88" s="13">
        <v>27.44</v>
      </c>
      <c r="K88" s="13">
        <v>0</v>
      </c>
      <c r="L88" s="34"/>
      <c r="M88" s="35">
        <f t="shared" si="7"/>
        <v>1</v>
      </c>
      <c r="N88" s="36"/>
      <c r="O88" s="37"/>
      <c r="P88" s="37"/>
      <c r="Q88" s="37"/>
      <c r="R88" s="45" t="s">
        <v>52</v>
      </c>
      <c r="S88" s="37"/>
      <c r="T88" s="37"/>
      <c r="U88" s="37"/>
    </row>
    <row r="89" s="1" customFormat="1" ht="45" hidden="1" spans="1:21">
      <c r="A89" s="13" t="s">
        <v>22</v>
      </c>
      <c r="B89" s="13" t="s">
        <v>158</v>
      </c>
      <c r="C89" s="13" t="s">
        <v>166</v>
      </c>
      <c r="D89" s="13" t="s">
        <v>25</v>
      </c>
      <c r="E89" s="13">
        <v>6</v>
      </c>
      <c r="F89" s="13">
        <v>5</v>
      </c>
      <c r="G89" s="14">
        <f t="shared" si="6"/>
        <v>0.833333333333333</v>
      </c>
      <c r="H89" s="15" t="s">
        <v>167</v>
      </c>
      <c r="I89" s="15" t="s">
        <v>168</v>
      </c>
      <c r="J89" s="13">
        <v>3.1</v>
      </c>
      <c r="K89" s="13">
        <v>0</v>
      </c>
      <c r="L89" s="34" t="s">
        <v>44</v>
      </c>
      <c r="M89" s="35">
        <f t="shared" si="7"/>
        <v>1</v>
      </c>
      <c r="N89" s="34" t="s">
        <v>169</v>
      </c>
      <c r="O89" s="34">
        <v>0.02</v>
      </c>
      <c r="P89" s="34">
        <v>1</v>
      </c>
      <c r="Q89" s="34" t="s">
        <v>44</v>
      </c>
      <c r="R89" s="45" t="s">
        <v>27</v>
      </c>
      <c r="S89" s="37"/>
      <c r="T89" s="37"/>
      <c r="U89" s="37"/>
    </row>
    <row r="90" s="1" customFormat="1" ht="45" hidden="1" spans="1:21">
      <c r="A90" s="13" t="s">
        <v>22</v>
      </c>
      <c r="B90" s="13" t="s">
        <v>158</v>
      </c>
      <c r="C90" s="13" t="s">
        <v>170</v>
      </c>
      <c r="D90" s="13" t="s">
        <v>25</v>
      </c>
      <c r="E90" s="13">
        <v>7</v>
      </c>
      <c r="F90" s="13">
        <v>5</v>
      </c>
      <c r="G90" s="14">
        <f t="shared" si="6"/>
        <v>0.714285714285714</v>
      </c>
      <c r="H90" s="15" t="s">
        <v>171</v>
      </c>
      <c r="I90" s="13"/>
      <c r="J90" s="13">
        <v>11.89</v>
      </c>
      <c r="K90" s="13">
        <v>0</v>
      </c>
      <c r="L90" s="34"/>
      <c r="M90" s="35">
        <f t="shared" si="7"/>
        <v>1</v>
      </c>
      <c r="N90" s="36"/>
      <c r="O90" s="37"/>
      <c r="P90" s="37"/>
      <c r="Q90" s="37"/>
      <c r="R90" s="45" t="s">
        <v>27</v>
      </c>
      <c r="S90" s="37"/>
      <c r="T90" s="37"/>
      <c r="U90" s="37"/>
    </row>
    <row r="91" s="3" customFormat="1" ht="15.5" spans="1:21">
      <c r="A91" s="70" t="s">
        <v>172</v>
      </c>
      <c r="B91" s="70" t="s">
        <v>158</v>
      </c>
      <c r="C91" s="71" t="s">
        <v>173</v>
      </c>
      <c r="D91" s="71" t="s">
        <v>25</v>
      </c>
      <c r="E91" s="70">
        <v>7</v>
      </c>
      <c r="F91" s="72">
        <v>6</v>
      </c>
      <c r="G91" s="73">
        <f t="shared" ref="G91:G122" si="8">F91/E91</f>
        <v>0.857142857142857</v>
      </c>
      <c r="H91" s="74" t="s">
        <v>174</v>
      </c>
      <c r="I91" s="88"/>
      <c r="J91" s="89">
        <v>15.48</v>
      </c>
      <c r="K91" s="89">
        <v>0</v>
      </c>
      <c r="L91" s="89"/>
      <c r="M91" s="90">
        <f t="shared" ref="M91:M122" si="9">J91/(J91+K91)</f>
        <v>1</v>
      </c>
      <c r="N91" s="91"/>
      <c r="O91" s="92"/>
      <c r="P91" s="92"/>
      <c r="Q91" s="92"/>
      <c r="R91" s="105" t="s">
        <v>27</v>
      </c>
      <c r="S91" s="37"/>
      <c r="T91" s="37"/>
      <c r="U91" s="92"/>
    </row>
    <row r="92" s="3" customFormat="1" ht="30" spans="1:21">
      <c r="A92" s="75" t="s">
        <v>172</v>
      </c>
      <c r="B92" s="75" t="s">
        <v>30</v>
      </c>
      <c r="C92" s="75" t="s">
        <v>175</v>
      </c>
      <c r="D92" s="75" t="s">
        <v>25</v>
      </c>
      <c r="E92" s="75" t="s">
        <v>176</v>
      </c>
      <c r="F92" s="75">
        <v>7</v>
      </c>
      <c r="G92" s="76">
        <f t="shared" si="8"/>
        <v>0.7</v>
      </c>
      <c r="H92" s="77" t="s">
        <v>177</v>
      </c>
      <c r="I92" s="93"/>
      <c r="J92" s="89">
        <v>22.64</v>
      </c>
      <c r="K92" s="75">
        <v>0</v>
      </c>
      <c r="L92" s="94"/>
      <c r="M92" s="95">
        <f t="shared" si="9"/>
        <v>1</v>
      </c>
      <c r="N92" s="91"/>
      <c r="O92" s="92"/>
      <c r="P92" s="92"/>
      <c r="Q92" s="92"/>
      <c r="R92" s="105" t="s">
        <v>27</v>
      </c>
      <c r="S92" s="37"/>
      <c r="T92" s="37"/>
      <c r="U92" s="92"/>
    </row>
    <row r="93" s="3" customFormat="1" ht="30" spans="1:21">
      <c r="A93" s="75" t="s">
        <v>172</v>
      </c>
      <c r="B93" s="75" t="s">
        <v>30</v>
      </c>
      <c r="C93" s="75" t="s">
        <v>178</v>
      </c>
      <c r="D93" s="75" t="s">
        <v>25</v>
      </c>
      <c r="E93" s="75" t="s">
        <v>179</v>
      </c>
      <c r="F93" s="75">
        <v>4</v>
      </c>
      <c r="G93" s="76">
        <f t="shared" si="8"/>
        <v>0.5</v>
      </c>
      <c r="H93" s="77" t="s">
        <v>180</v>
      </c>
      <c r="I93" s="93"/>
      <c r="J93" s="89">
        <v>15.58</v>
      </c>
      <c r="K93" s="75">
        <v>0</v>
      </c>
      <c r="L93" s="94"/>
      <c r="M93" s="95">
        <f t="shared" si="9"/>
        <v>1</v>
      </c>
      <c r="N93" s="91"/>
      <c r="O93" s="92"/>
      <c r="P93" s="92"/>
      <c r="Q93" s="92"/>
      <c r="R93" s="105" t="s">
        <v>27</v>
      </c>
      <c r="S93" s="37"/>
      <c r="T93" s="37"/>
      <c r="U93" s="92"/>
    </row>
    <row r="94" s="3" customFormat="1" ht="75" spans="1:21">
      <c r="A94" s="75" t="s">
        <v>172</v>
      </c>
      <c r="B94" s="75" t="s">
        <v>158</v>
      </c>
      <c r="C94" s="75" t="s">
        <v>181</v>
      </c>
      <c r="D94" s="75" t="s">
        <v>25</v>
      </c>
      <c r="E94" s="75" t="s">
        <v>176</v>
      </c>
      <c r="F94" s="75">
        <v>7</v>
      </c>
      <c r="G94" s="76">
        <f t="shared" si="8"/>
        <v>0.7</v>
      </c>
      <c r="H94" s="78" t="s">
        <v>182</v>
      </c>
      <c r="I94" s="96"/>
      <c r="J94" s="89">
        <v>17.55</v>
      </c>
      <c r="K94" s="75">
        <v>0</v>
      </c>
      <c r="L94" s="75"/>
      <c r="M94" s="95">
        <f t="shared" si="9"/>
        <v>1</v>
      </c>
      <c r="N94" s="91"/>
      <c r="O94" s="92"/>
      <c r="P94" s="92"/>
      <c r="Q94" s="92"/>
      <c r="R94" s="105" t="s">
        <v>27</v>
      </c>
      <c r="S94" s="37"/>
      <c r="T94" s="37"/>
      <c r="U94" s="92"/>
    </row>
    <row r="95" s="3" customFormat="1" ht="15.5" spans="1:21">
      <c r="A95" s="75" t="s">
        <v>172</v>
      </c>
      <c r="B95" s="75" t="s">
        <v>30</v>
      </c>
      <c r="C95" s="75" t="s">
        <v>183</v>
      </c>
      <c r="D95" s="75" t="s">
        <v>25</v>
      </c>
      <c r="E95" s="75" t="s">
        <v>179</v>
      </c>
      <c r="F95" s="75">
        <v>8</v>
      </c>
      <c r="G95" s="76">
        <f t="shared" si="8"/>
        <v>1</v>
      </c>
      <c r="H95" s="77"/>
      <c r="I95" s="96"/>
      <c r="J95" s="89">
        <v>30.41</v>
      </c>
      <c r="K95" s="97">
        <v>0</v>
      </c>
      <c r="L95" s="75"/>
      <c r="M95" s="95">
        <f t="shared" si="9"/>
        <v>1</v>
      </c>
      <c r="N95" s="91"/>
      <c r="O95" s="92"/>
      <c r="P95" s="92"/>
      <c r="Q95" s="92"/>
      <c r="R95" s="105" t="s">
        <v>27</v>
      </c>
      <c r="S95" s="37"/>
      <c r="T95" s="37"/>
      <c r="U95" s="92"/>
    </row>
    <row r="96" s="3" customFormat="1" ht="135" spans="1:21">
      <c r="A96" s="75" t="s">
        <v>172</v>
      </c>
      <c r="B96" s="75" t="s">
        <v>30</v>
      </c>
      <c r="C96" s="75" t="s">
        <v>184</v>
      </c>
      <c r="D96" s="75" t="s">
        <v>32</v>
      </c>
      <c r="E96" s="75" t="s">
        <v>185</v>
      </c>
      <c r="F96" s="75">
        <v>6</v>
      </c>
      <c r="G96" s="76">
        <f t="shared" si="8"/>
        <v>0.545454545454545</v>
      </c>
      <c r="H96" s="78" t="s">
        <v>186</v>
      </c>
      <c r="I96" s="96" t="s">
        <v>187</v>
      </c>
      <c r="J96" s="89">
        <v>21.56</v>
      </c>
      <c r="K96" s="75">
        <v>1.06</v>
      </c>
      <c r="L96" s="94" t="s">
        <v>37</v>
      </c>
      <c r="M96" s="95">
        <f t="shared" si="9"/>
        <v>0.953138815207781</v>
      </c>
      <c r="N96" s="91"/>
      <c r="O96" s="92"/>
      <c r="P96" s="92"/>
      <c r="Q96" s="92"/>
      <c r="R96" s="105" t="s">
        <v>27</v>
      </c>
      <c r="S96" s="37"/>
      <c r="T96" s="37"/>
      <c r="U96" s="92"/>
    </row>
    <row r="97" s="3" customFormat="1" ht="105" spans="1:21">
      <c r="A97" s="75" t="s">
        <v>172</v>
      </c>
      <c r="B97" s="75" t="s">
        <v>158</v>
      </c>
      <c r="C97" s="75" t="s">
        <v>188</v>
      </c>
      <c r="D97" s="75" t="s">
        <v>32</v>
      </c>
      <c r="E97" s="75" t="s">
        <v>189</v>
      </c>
      <c r="F97" s="75">
        <v>2</v>
      </c>
      <c r="G97" s="76">
        <f t="shared" si="8"/>
        <v>0.333333333333333</v>
      </c>
      <c r="H97" s="77" t="s">
        <v>190</v>
      </c>
      <c r="I97" s="96" t="s">
        <v>191</v>
      </c>
      <c r="J97" s="89">
        <v>21.78</v>
      </c>
      <c r="K97" s="97">
        <v>3.02</v>
      </c>
      <c r="L97" s="75" t="s">
        <v>37</v>
      </c>
      <c r="M97" s="95">
        <f t="shared" si="9"/>
        <v>0.878225806451613</v>
      </c>
      <c r="N97" s="91"/>
      <c r="O97" s="92"/>
      <c r="P97" s="92"/>
      <c r="Q97" s="92"/>
      <c r="R97" s="105" t="s">
        <v>27</v>
      </c>
      <c r="S97" s="37"/>
      <c r="T97" s="37"/>
      <c r="U97" s="92"/>
    </row>
    <row r="98" s="3" customFormat="1" ht="150" spans="1:21">
      <c r="A98" s="75" t="s">
        <v>172</v>
      </c>
      <c r="B98" s="75" t="s">
        <v>30</v>
      </c>
      <c r="C98" s="75" t="s">
        <v>192</v>
      </c>
      <c r="D98" s="75" t="s">
        <v>32</v>
      </c>
      <c r="E98" s="75" t="s">
        <v>193</v>
      </c>
      <c r="F98" s="75">
        <v>11</v>
      </c>
      <c r="G98" s="76">
        <f t="shared" si="8"/>
        <v>0.55</v>
      </c>
      <c r="H98" s="77" t="s">
        <v>194</v>
      </c>
      <c r="I98" s="96" t="s">
        <v>195</v>
      </c>
      <c r="J98" s="89">
        <v>32.34</v>
      </c>
      <c r="K98" s="97">
        <v>4.9</v>
      </c>
      <c r="L98" s="94" t="s">
        <v>35</v>
      </c>
      <c r="M98" s="95">
        <f t="shared" si="9"/>
        <v>0.868421052631579</v>
      </c>
      <c r="N98" s="91"/>
      <c r="O98" s="92"/>
      <c r="P98" s="92"/>
      <c r="Q98" s="92"/>
      <c r="R98" s="105" t="s">
        <v>52</v>
      </c>
      <c r="S98" s="37"/>
      <c r="T98" s="37"/>
      <c r="U98" s="92"/>
    </row>
    <row r="99" s="3" customFormat="1" ht="120" spans="1:21">
      <c r="A99" s="75" t="s">
        <v>172</v>
      </c>
      <c r="B99" s="75" t="s">
        <v>30</v>
      </c>
      <c r="C99" s="75" t="s">
        <v>196</v>
      </c>
      <c r="D99" s="75" t="s">
        <v>32</v>
      </c>
      <c r="E99" s="75" t="s">
        <v>185</v>
      </c>
      <c r="F99" s="75">
        <v>5</v>
      </c>
      <c r="G99" s="76">
        <f t="shared" si="8"/>
        <v>0.454545454545455</v>
      </c>
      <c r="H99" s="77" t="s">
        <v>197</v>
      </c>
      <c r="I99" s="96" t="s">
        <v>198</v>
      </c>
      <c r="J99" s="89">
        <v>36.11</v>
      </c>
      <c r="K99" s="75">
        <v>6.46</v>
      </c>
      <c r="L99" s="75" t="s">
        <v>35</v>
      </c>
      <c r="M99" s="95">
        <f t="shared" si="9"/>
        <v>0.848249941273197</v>
      </c>
      <c r="N99" s="91"/>
      <c r="O99" s="92"/>
      <c r="P99" s="92"/>
      <c r="Q99" s="92"/>
      <c r="R99" s="105" t="s">
        <v>27</v>
      </c>
      <c r="S99" s="37"/>
      <c r="T99" s="37"/>
      <c r="U99" s="92"/>
    </row>
    <row r="100" s="3" customFormat="1" ht="105" spans="1:21">
      <c r="A100" s="75" t="s">
        <v>172</v>
      </c>
      <c r="B100" s="75" t="s">
        <v>23</v>
      </c>
      <c r="C100" s="75" t="s">
        <v>199</v>
      </c>
      <c r="D100" s="75" t="s">
        <v>32</v>
      </c>
      <c r="E100" s="75" t="s">
        <v>200</v>
      </c>
      <c r="F100" s="75">
        <v>9</v>
      </c>
      <c r="G100" s="76">
        <f t="shared" si="8"/>
        <v>0.75</v>
      </c>
      <c r="H100" s="78" t="s">
        <v>201</v>
      </c>
      <c r="I100" s="96" t="s">
        <v>202</v>
      </c>
      <c r="J100" s="89">
        <v>26.26</v>
      </c>
      <c r="K100" s="75">
        <v>5.76</v>
      </c>
      <c r="L100" s="75" t="s">
        <v>37</v>
      </c>
      <c r="M100" s="95">
        <f t="shared" si="9"/>
        <v>0.820112429731418</v>
      </c>
      <c r="N100" s="91"/>
      <c r="O100" s="92"/>
      <c r="P100" s="92"/>
      <c r="Q100" s="92"/>
      <c r="R100" s="105" t="s">
        <v>27</v>
      </c>
      <c r="S100" s="37"/>
      <c r="T100" s="37"/>
      <c r="U100" s="92"/>
    </row>
    <row r="101" s="3" customFormat="1" ht="120" spans="1:21">
      <c r="A101" s="75" t="s">
        <v>172</v>
      </c>
      <c r="B101" s="75" t="s">
        <v>158</v>
      </c>
      <c r="C101" s="75" t="s">
        <v>203</v>
      </c>
      <c r="D101" s="75" t="s">
        <v>32</v>
      </c>
      <c r="E101" s="75" t="s">
        <v>204</v>
      </c>
      <c r="F101" s="75">
        <v>5</v>
      </c>
      <c r="G101" s="76">
        <f t="shared" si="8"/>
        <v>0.714285714285714</v>
      </c>
      <c r="H101" s="78" t="s">
        <v>205</v>
      </c>
      <c r="I101" s="96" t="s">
        <v>206</v>
      </c>
      <c r="J101" s="89">
        <v>14.81</v>
      </c>
      <c r="K101" s="75">
        <v>3.41</v>
      </c>
      <c r="L101" s="94" t="s">
        <v>35</v>
      </c>
      <c r="M101" s="95">
        <f t="shared" si="9"/>
        <v>0.812843029637761</v>
      </c>
      <c r="N101" s="91"/>
      <c r="O101" s="92"/>
      <c r="P101" s="92"/>
      <c r="Q101" s="92"/>
      <c r="R101" s="105" t="s">
        <v>27</v>
      </c>
      <c r="S101" s="37"/>
      <c r="T101" s="37"/>
      <c r="U101" s="92"/>
    </row>
    <row r="102" s="3" customFormat="1" ht="105" spans="1:21">
      <c r="A102" s="75" t="s">
        <v>172</v>
      </c>
      <c r="B102" s="75" t="s">
        <v>158</v>
      </c>
      <c r="C102" s="75" t="s">
        <v>207</v>
      </c>
      <c r="D102" s="75" t="s">
        <v>32</v>
      </c>
      <c r="E102" s="75" t="s">
        <v>179</v>
      </c>
      <c r="F102" s="75" t="s">
        <v>189</v>
      </c>
      <c r="G102" s="76">
        <f t="shared" si="8"/>
        <v>0.75</v>
      </c>
      <c r="H102" s="78" t="s">
        <v>208</v>
      </c>
      <c r="I102" s="96" t="s">
        <v>209</v>
      </c>
      <c r="J102" s="89">
        <v>21.32</v>
      </c>
      <c r="K102" s="75">
        <v>5.54</v>
      </c>
      <c r="L102" s="75" t="s">
        <v>37</v>
      </c>
      <c r="M102" s="95">
        <f t="shared" si="9"/>
        <v>0.793745346239762</v>
      </c>
      <c r="N102" s="91"/>
      <c r="O102" s="92"/>
      <c r="P102" s="92"/>
      <c r="Q102" s="92"/>
      <c r="R102" s="105" t="s">
        <v>27</v>
      </c>
      <c r="S102" s="37"/>
      <c r="T102" s="37"/>
      <c r="U102" s="92"/>
    </row>
    <row r="103" s="3" customFormat="1" ht="165" spans="1:21">
      <c r="A103" s="75" t="s">
        <v>172</v>
      </c>
      <c r="B103" s="75" t="s">
        <v>30</v>
      </c>
      <c r="C103" s="75" t="s">
        <v>210</v>
      </c>
      <c r="D103" s="75" t="s">
        <v>32</v>
      </c>
      <c r="E103" s="75" t="s">
        <v>211</v>
      </c>
      <c r="F103" s="75">
        <v>7</v>
      </c>
      <c r="G103" s="76">
        <f t="shared" si="8"/>
        <v>0.466666666666667</v>
      </c>
      <c r="H103" s="77" t="s">
        <v>212</v>
      </c>
      <c r="I103" s="96" t="s">
        <v>213</v>
      </c>
      <c r="J103" s="89">
        <v>21.04</v>
      </c>
      <c r="K103" s="75">
        <v>5.58</v>
      </c>
      <c r="L103" s="75" t="s">
        <v>35</v>
      </c>
      <c r="M103" s="95">
        <f t="shared" si="9"/>
        <v>0.79038317054846</v>
      </c>
      <c r="N103" s="91"/>
      <c r="O103" s="92"/>
      <c r="P103" s="92"/>
      <c r="Q103" s="92"/>
      <c r="R103" s="105" t="s">
        <v>27</v>
      </c>
      <c r="S103" s="37"/>
      <c r="T103" s="37"/>
      <c r="U103" s="92"/>
    </row>
    <row r="104" s="3" customFormat="1" ht="105" spans="1:21">
      <c r="A104" s="75" t="s">
        <v>172</v>
      </c>
      <c r="B104" s="75" t="s">
        <v>158</v>
      </c>
      <c r="C104" s="75" t="s">
        <v>214</v>
      </c>
      <c r="D104" s="75" t="s">
        <v>32</v>
      </c>
      <c r="E104" s="75" t="s">
        <v>189</v>
      </c>
      <c r="F104" s="75">
        <v>3</v>
      </c>
      <c r="G104" s="76">
        <f t="shared" si="8"/>
        <v>0.5</v>
      </c>
      <c r="H104" s="77" t="s">
        <v>215</v>
      </c>
      <c r="I104" s="93" t="s">
        <v>216</v>
      </c>
      <c r="J104" s="89">
        <v>14.71</v>
      </c>
      <c r="K104" s="75">
        <v>3.97</v>
      </c>
      <c r="L104" s="94" t="s">
        <v>37</v>
      </c>
      <c r="M104" s="95">
        <f t="shared" si="9"/>
        <v>0.787473233404711</v>
      </c>
      <c r="N104" s="91"/>
      <c r="O104" s="92"/>
      <c r="P104" s="92"/>
      <c r="Q104" s="92"/>
      <c r="R104" s="105" t="s">
        <v>27</v>
      </c>
      <c r="S104" s="37"/>
      <c r="T104" s="37"/>
      <c r="U104" s="92"/>
    </row>
    <row r="105" s="3" customFormat="1" ht="105" spans="1:21">
      <c r="A105" s="75" t="s">
        <v>172</v>
      </c>
      <c r="B105" s="75" t="s">
        <v>30</v>
      </c>
      <c r="C105" s="75" t="s">
        <v>217</v>
      </c>
      <c r="D105" s="75" t="s">
        <v>32</v>
      </c>
      <c r="E105" s="75" t="s">
        <v>179</v>
      </c>
      <c r="F105" s="75" t="s">
        <v>218</v>
      </c>
      <c r="G105" s="76">
        <f t="shared" si="8"/>
        <v>0.375</v>
      </c>
      <c r="H105" s="77" t="s">
        <v>219</v>
      </c>
      <c r="I105" s="96" t="s">
        <v>220</v>
      </c>
      <c r="J105" s="89">
        <v>17.75</v>
      </c>
      <c r="K105" s="75">
        <v>5.92</v>
      </c>
      <c r="L105" s="94" t="s">
        <v>37</v>
      </c>
      <c r="M105" s="95">
        <f t="shared" si="9"/>
        <v>0.749894381073088</v>
      </c>
      <c r="N105" s="91"/>
      <c r="O105" s="92"/>
      <c r="P105" s="92"/>
      <c r="Q105" s="92"/>
      <c r="R105" s="105" t="s">
        <v>27</v>
      </c>
      <c r="S105" s="37"/>
      <c r="T105" s="37"/>
      <c r="U105" s="92"/>
    </row>
    <row r="106" s="3" customFormat="1" ht="105" spans="1:21">
      <c r="A106" s="75" t="s">
        <v>172</v>
      </c>
      <c r="B106" s="75" t="s">
        <v>30</v>
      </c>
      <c r="C106" s="75" t="s">
        <v>221</v>
      </c>
      <c r="D106" s="75" t="s">
        <v>32</v>
      </c>
      <c r="E106" s="75" t="s">
        <v>222</v>
      </c>
      <c r="F106" s="75">
        <v>13</v>
      </c>
      <c r="G106" s="76">
        <f t="shared" si="8"/>
        <v>0.8125</v>
      </c>
      <c r="H106" s="78" t="s">
        <v>223</v>
      </c>
      <c r="I106" s="96" t="s">
        <v>224</v>
      </c>
      <c r="J106" s="89">
        <v>36.37</v>
      </c>
      <c r="K106" s="75">
        <v>12.23</v>
      </c>
      <c r="L106" s="94" t="s">
        <v>37</v>
      </c>
      <c r="M106" s="95">
        <f t="shared" si="9"/>
        <v>0.748353909465021</v>
      </c>
      <c r="N106" s="91"/>
      <c r="O106" s="92"/>
      <c r="P106" s="92"/>
      <c r="Q106" s="92"/>
      <c r="R106" s="105" t="s">
        <v>38</v>
      </c>
      <c r="S106" s="37"/>
      <c r="T106" s="37"/>
      <c r="U106" s="92"/>
    </row>
    <row r="107" s="3" customFormat="1" ht="285" spans="1:21">
      <c r="A107" s="75" t="s">
        <v>172</v>
      </c>
      <c r="B107" s="75" t="s">
        <v>30</v>
      </c>
      <c r="C107" s="75" t="s">
        <v>225</v>
      </c>
      <c r="D107" s="75" t="s">
        <v>32</v>
      </c>
      <c r="E107" s="75" t="s">
        <v>226</v>
      </c>
      <c r="F107" s="75">
        <v>8</v>
      </c>
      <c r="G107" s="76">
        <f t="shared" si="8"/>
        <v>0.347826086956522</v>
      </c>
      <c r="H107" s="77" t="s">
        <v>227</v>
      </c>
      <c r="I107" s="96" t="s">
        <v>228</v>
      </c>
      <c r="J107" s="89">
        <v>21.25</v>
      </c>
      <c r="K107" s="75">
        <v>7.63</v>
      </c>
      <c r="L107" s="75" t="s">
        <v>35</v>
      </c>
      <c r="M107" s="95">
        <f t="shared" si="9"/>
        <v>0.735803324099723</v>
      </c>
      <c r="N107" s="91"/>
      <c r="O107" s="92"/>
      <c r="P107" s="92"/>
      <c r="Q107" s="92"/>
      <c r="R107" s="105" t="s">
        <v>52</v>
      </c>
      <c r="S107" s="37"/>
      <c r="T107" s="37"/>
      <c r="U107" s="92"/>
    </row>
    <row r="108" s="3" customFormat="1" ht="165" spans="1:21">
      <c r="A108" s="75" t="s">
        <v>172</v>
      </c>
      <c r="B108" s="75" t="s">
        <v>30</v>
      </c>
      <c r="C108" s="75" t="s">
        <v>229</v>
      </c>
      <c r="D108" s="75" t="s">
        <v>32</v>
      </c>
      <c r="E108" s="75" t="s">
        <v>230</v>
      </c>
      <c r="F108" s="75">
        <v>26</v>
      </c>
      <c r="G108" s="76">
        <f t="shared" si="8"/>
        <v>0.764705882352941</v>
      </c>
      <c r="H108" s="78" t="s">
        <v>231</v>
      </c>
      <c r="I108" s="96" t="s">
        <v>232</v>
      </c>
      <c r="J108" s="89">
        <v>56.54</v>
      </c>
      <c r="K108" s="75">
        <v>24.6</v>
      </c>
      <c r="L108" s="75" t="s">
        <v>35</v>
      </c>
      <c r="M108" s="95">
        <f t="shared" si="9"/>
        <v>0.696820310574316</v>
      </c>
      <c r="N108" s="98" t="s">
        <v>233</v>
      </c>
      <c r="O108" s="75">
        <v>24.6</v>
      </c>
      <c r="P108" s="92">
        <v>71</v>
      </c>
      <c r="Q108" s="92" t="s">
        <v>37</v>
      </c>
      <c r="R108" s="105" t="s">
        <v>38</v>
      </c>
      <c r="S108" s="37"/>
      <c r="T108" s="37"/>
      <c r="U108" s="92"/>
    </row>
    <row r="109" s="3" customFormat="1" ht="105" spans="1:21">
      <c r="A109" s="75" t="s">
        <v>172</v>
      </c>
      <c r="B109" s="75" t="s">
        <v>30</v>
      </c>
      <c r="C109" s="75" t="s">
        <v>234</v>
      </c>
      <c r="D109" s="75" t="s">
        <v>32</v>
      </c>
      <c r="E109" s="75" t="s">
        <v>200</v>
      </c>
      <c r="F109" s="75">
        <v>5</v>
      </c>
      <c r="G109" s="76">
        <f t="shared" si="8"/>
        <v>0.416666666666667</v>
      </c>
      <c r="H109" s="78" t="s">
        <v>235</v>
      </c>
      <c r="I109" s="96" t="s">
        <v>236</v>
      </c>
      <c r="J109" s="89">
        <v>24.45</v>
      </c>
      <c r="K109" s="97">
        <v>14.2</v>
      </c>
      <c r="L109" s="75" t="s">
        <v>37</v>
      </c>
      <c r="M109" s="95">
        <f t="shared" si="9"/>
        <v>0.632600258732212</v>
      </c>
      <c r="N109" s="98" t="s">
        <v>237</v>
      </c>
      <c r="O109" s="97">
        <v>14.2</v>
      </c>
      <c r="P109" s="92">
        <v>108</v>
      </c>
      <c r="Q109" s="92" t="s">
        <v>37</v>
      </c>
      <c r="R109" s="105" t="s">
        <v>27</v>
      </c>
      <c r="S109" s="37"/>
      <c r="T109" s="37"/>
      <c r="U109" s="92"/>
    </row>
    <row r="110" s="3" customFormat="1" ht="135" spans="1:21">
      <c r="A110" s="75" t="s">
        <v>172</v>
      </c>
      <c r="B110" s="75" t="s">
        <v>30</v>
      </c>
      <c r="C110" s="75" t="s">
        <v>238</v>
      </c>
      <c r="D110" s="75" t="s">
        <v>32</v>
      </c>
      <c r="E110" s="75" t="s">
        <v>185</v>
      </c>
      <c r="F110" s="75">
        <v>3</v>
      </c>
      <c r="G110" s="76">
        <f t="shared" si="8"/>
        <v>0.272727272727273</v>
      </c>
      <c r="H110" s="78" t="s">
        <v>239</v>
      </c>
      <c r="I110" s="96" t="s">
        <v>240</v>
      </c>
      <c r="J110" s="89">
        <v>16.69</v>
      </c>
      <c r="K110" s="97">
        <v>9.85</v>
      </c>
      <c r="L110" s="94" t="s">
        <v>37</v>
      </c>
      <c r="M110" s="95">
        <f t="shared" si="9"/>
        <v>0.628862094951017</v>
      </c>
      <c r="N110" s="98" t="s">
        <v>241</v>
      </c>
      <c r="O110" s="97">
        <v>9.85</v>
      </c>
      <c r="P110" s="92">
        <v>235</v>
      </c>
      <c r="Q110" s="92" t="s">
        <v>37</v>
      </c>
      <c r="R110" s="105" t="s">
        <v>27</v>
      </c>
      <c r="S110" s="37"/>
      <c r="T110" s="37"/>
      <c r="U110" s="92"/>
    </row>
    <row r="111" s="3" customFormat="1" ht="105" spans="1:21">
      <c r="A111" s="75" t="s">
        <v>172</v>
      </c>
      <c r="B111" s="75" t="s">
        <v>30</v>
      </c>
      <c r="C111" s="75" t="s">
        <v>242</v>
      </c>
      <c r="D111" s="75" t="s">
        <v>32</v>
      </c>
      <c r="E111" s="75" t="s">
        <v>185</v>
      </c>
      <c r="F111" s="75">
        <v>4</v>
      </c>
      <c r="G111" s="76">
        <f t="shared" si="8"/>
        <v>0.363636363636364</v>
      </c>
      <c r="H111" s="78" t="s">
        <v>243</v>
      </c>
      <c r="I111" s="96" t="s">
        <v>244</v>
      </c>
      <c r="J111" s="89">
        <v>29.27</v>
      </c>
      <c r="K111" s="75">
        <v>17.52</v>
      </c>
      <c r="L111" s="75" t="s">
        <v>37</v>
      </c>
      <c r="M111" s="95">
        <f t="shared" si="9"/>
        <v>0.625561017311391</v>
      </c>
      <c r="N111" s="98" t="s">
        <v>245</v>
      </c>
      <c r="O111" s="75">
        <v>17.52</v>
      </c>
      <c r="P111" s="92">
        <v>136</v>
      </c>
      <c r="Q111" s="92" t="s">
        <v>37</v>
      </c>
      <c r="R111" s="105" t="s">
        <v>27</v>
      </c>
      <c r="S111" s="37"/>
      <c r="T111" s="37"/>
      <c r="U111" s="92"/>
    </row>
    <row r="112" s="3" customFormat="1" ht="135" spans="1:21">
      <c r="A112" s="75" t="s">
        <v>172</v>
      </c>
      <c r="B112" s="75" t="s">
        <v>30</v>
      </c>
      <c r="C112" s="75" t="s">
        <v>246</v>
      </c>
      <c r="D112" s="75" t="s">
        <v>32</v>
      </c>
      <c r="E112" s="75" t="s">
        <v>247</v>
      </c>
      <c r="F112" s="75">
        <v>6</v>
      </c>
      <c r="G112" s="76">
        <f t="shared" si="8"/>
        <v>0.285714285714286</v>
      </c>
      <c r="H112" s="77" t="s">
        <v>248</v>
      </c>
      <c r="I112" s="96" t="s">
        <v>249</v>
      </c>
      <c r="J112" s="89">
        <v>42.05</v>
      </c>
      <c r="K112" s="97">
        <v>29.73</v>
      </c>
      <c r="L112" s="94" t="s">
        <v>37</v>
      </c>
      <c r="M112" s="95">
        <f t="shared" si="9"/>
        <v>0.585817776539426</v>
      </c>
      <c r="N112" s="98" t="s">
        <v>250</v>
      </c>
      <c r="O112" s="97">
        <v>29.73</v>
      </c>
      <c r="P112" s="92">
        <v>98</v>
      </c>
      <c r="Q112" s="92" t="s">
        <v>37</v>
      </c>
      <c r="R112" s="105" t="s">
        <v>52</v>
      </c>
      <c r="S112" s="37"/>
      <c r="T112" s="37"/>
      <c r="U112" s="92"/>
    </row>
    <row r="113" s="3" customFormat="1" ht="168" spans="1:21">
      <c r="A113" s="75" t="s">
        <v>172</v>
      </c>
      <c r="B113" s="75" t="s">
        <v>30</v>
      </c>
      <c r="C113" s="75" t="s">
        <v>251</v>
      </c>
      <c r="D113" s="75" t="s">
        <v>32</v>
      </c>
      <c r="E113" s="75" t="s">
        <v>252</v>
      </c>
      <c r="F113" s="75">
        <v>27</v>
      </c>
      <c r="G113" s="76">
        <f t="shared" si="8"/>
        <v>0.710526315789474</v>
      </c>
      <c r="H113" s="77" t="s">
        <v>253</v>
      </c>
      <c r="I113" s="96" t="s">
        <v>254</v>
      </c>
      <c r="J113" s="89">
        <v>46.76</v>
      </c>
      <c r="K113" s="75">
        <v>42.52</v>
      </c>
      <c r="L113" s="75" t="s">
        <v>35</v>
      </c>
      <c r="M113" s="95">
        <f t="shared" si="9"/>
        <v>0.523745519713262</v>
      </c>
      <c r="N113" s="98" t="s">
        <v>255</v>
      </c>
      <c r="O113" s="75">
        <v>42.52</v>
      </c>
      <c r="P113" s="92">
        <v>366</v>
      </c>
      <c r="Q113" s="92" t="s">
        <v>37</v>
      </c>
      <c r="R113" s="105" t="s">
        <v>38</v>
      </c>
      <c r="S113" s="37"/>
      <c r="T113" s="37"/>
      <c r="U113" s="92"/>
    </row>
    <row r="114" s="3" customFormat="1" ht="135" spans="1:21">
      <c r="A114" s="75" t="s">
        <v>172</v>
      </c>
      <c r="B114" s="75" t="s">
        <v>30</v>
      </c>
      <c r="C114" s="75" t="s">
        <v>256</v>
      </c>
      <c r="D114" s="75" t="s">
        <v>32</v>
      </c>
      <c r="E114" s="75" t="s">
        <v>222</v>
      </c>
      <c r="F114" s="75" t="s">
        <v>218</v>
      </c>
      <c r="G114" s="76">
        <f t="shared" si="8"/>
        <v>0.1875</v>
      </c>
      <c r="H114" s="77" t="s">
        <v>257</v>
      </c>
      <c r="I114" s="96" t="s">
        <v>258</v>
      </c>
      <c r="J114" s="89">
        <v>18.06</v>
      </c>
      <c r="K114" s="97">
        <v>16.76</v>
      </c>
      <c r="L114" s="75" t="s">
        <v>35</v>
      </c>
      <c r="M114" s="95">
        <f t="shared" si="9"/>
        <v>0.518667432510052</v>
      </c>
      <c r="N114" s="98" t="s">
        <v>259</v>
      </c>
      <c r="O114" s="97">
        <v>16.76</v>
      </c>
      <c r="P114" s="92">
        <v>201</v>
      </c>
      <c r="Q114" s="92" t="s">
        <v>37</v>
      </c>
      <c r="R114" s="105" t="s">
        <v>27</v>
      </c>
      <c r="S114" s="37"/>
      <c r="T114" s="37"/>
      <c r="U114" s="92"/>
    </row>
    <row r="115" s="3" customFormat="1" ht="180" spans="1:21">
      <c r="A115" s="75" t="s">
        <v>172</v>
      </c>
      <c r="B115" s="75" t="s">
        <v>30</v>
      </c>
      <c r="C115" s="78" t="s">
        <v>260</v>
      </c>
      <c r="D115" s="75" t="s">
        <v>32</v>
      </c>
      <c r="E115" s="75">
        <v>25</v>
      </c>
      <c r="F115" s="75">
        <v>14</v>
      </c>
      <c r="G115" s="76">
        <f t="shared" si="8"/>
        <v>0.56</v>
      </c>
      <c r="H115" s="77" t="s">
        <v>261</v>
      </c>
      <c r="I115" s="96" t="s">
        <v>262</v>
      </c>
      <c r="J115" s="89">
        <v>29.85</v>
      </c>
      <c r="K115" s="97">
        <v>31.41</v>
      </c>
      <c r="L115" s="75" t="s">
        <v>35</v>
      </c>
      <c r="M115" s="95">
        <f t="shared" si="9"/>
        <v>0.487267384916748</v>
      </c>
      <c r="N115" s="98" t="s">
        <v>263</v>
      </c>
      <c r="O115" s="97">
        <v>31.41</v>
      </c>
      <c r="P115" s="92">
        <v>330</v>
      </c>
      <c r="Q115" s="92" t="s">
        <v>264</v>
      </c>
      <c r="R115" s="105" t="s">
        <v>38</v>
      </c>
      <c r="S115" s="37"/>
      <c r="T115" s="37"/>
      <c r="U115" s="92"/>
    </row>
    <row r="116" s="3" customFormat="1" ht="150" spans="1:21">
      <c r="A116" s="75" t="s">
        <v>172</v>
      </c>
      <c r="B116" s="75" t="s">
        <v>30</v>
      </c>
      <c r="C116" s="75" t="s">
        <v>265</v>
      </c>
      <c r="D116" s="75" t="s">
        <v>32</v>
      </c>
      <c r="E116" s="75" t="s">
        <v>266</v>
      </c>
      <c r="F116" s="75">
        <v>12</v>
      </c>
      <c r="G116" s="76">
        <f t="shared" si="8"/>
        <v>0.545454545454545</v>
      </c>
      <c r="H116" s="78" t="s">
        <v>267</v>
      </c>
      <c r="I116" s="96" t="s">
        <v>268</v>
      </c>
      <c r="J116" s="89">
        <v>31.3</v>
      </c>
      <c r="K116" s="97">
        <v>35.59</v>
      </c>
      <c r="L116" s="75" t="s">
        <v>35</v>
      </c>
      <c r="M116" s="95">
        <f t="shared" si="9"/>
        <v>0.467932426371655</v>
      </c>
      <c r="N116" s="98" t="s">
        <v>269</v>
      </c>
      <c r="O116" s="97">
        <v>35.59</v>
      </c>
      <c r="P116" s="92">
        <v>131</v>
      </c>
      <c r="Q116" s="92" t="s">
        <v>37</v>
      </c>
      <c r="R116" s="105" t="s">
        <v>38</v>
      </c>
      <c r="S116" s="37"/>
      <c r="T116" s="37"/>
      <c r="U116" s="92"/>
    </row>
    <row r="117" s="3" customFormat="1" ht="165" spans="1:21">
      <c r="A117" s="75" t="s">
        <v>172</v>
      </c>
      <c r="B117" s="75" t="s">
        <v>30</v>
      </c>
      <c r="C117" s="75" t="s">
        <v>270</v>
      </c>
      <c r="D117" s="75" t="s">
        <v>32</v>
      </c>
      <c r="E117" s="75" t="s">
        <v>271</v>
      </c>
      <c r="F117" s="75">
        <v>6</v>
      </c>
      <c r="G117" s="76">
        <f t="shared" si="8"/>
        <v>0.25</v>
      </c>
      <c r="H117" s="78" t="s">
        <v>272</v>
      </c>
      <c r="I117" s="96" t="s">
        <v>273</v>
      </c>
      <c r="J117" s="89">
        <v>19.33</v>
      </c>
      <c r="K117" s="75">
        <v>35.84</v>
      </c>
      <c r="L117" s="75" t="s">
        <v>35</v>
      </c>
      <c r="M117" s="95">
        <f t="shared" si="9"/>
        <v>0.350371578756571</v>
      </c>
      <c r="N117" s="98" t="s">
        <v>274</v>
      </c>
      <c r="O117" s="75">
        <v>35.84</v>
      </c>
      <c r="P117" s="92">
        <v>107</v>
      </c>
      <c r="Q117" s="92" t="s">
        <v>264</v>
      </c>
      <c r="R117" s="105" t="s">
        <v>52</v>
      </c>
      <c r="S117" s="37"/>
      <c r="T117" s="37"/>
      <c r="U117" s="92"/>
    </row>
    <row r="118" s="3" customFormat="1" ht="107" customHeight="1" spans="1:21">
      <c r="A118" s="75" t="s">
        <v>172</v>
      </c>
      <c r="B118" s="75" t="s">
        <v>158</v>
      </c>
      <c r="C118" s="75" t="s">
        <v>275</v>
      </c>
      <c r="D118" s="75" t="s">
        <v>32</v>
      </c>
      <c r="E118" s="75" t="s">
        <v>189</v>
      </c>
      <c r="F118" s="75" t="s">
        <v>276</v>
      </c>
      <c r="G118" s="76">
        <f t="shared" si="8"/>
        <v>0</v>
      </c>
      <c r="H118" s="77" t="s">
        <v>277</v>
      </c>
      <c r="I118" s="93" t="s">
        <v>278</v>
      </c>
      <c r="J118" s="89">
        <v>0</v>
      </c>
      <c r="K118" s="97">
        <v>17.27</v>
      </c>
      <c r="L118" s="94" t="s">
        <v>37</v>
      </c>
      <c r="M118" s="95">
        <f t="shared" si="9"/>
        <v>0</v>
      </c>
      <c r="N118" s="98" t="s">
        <v>279</v>
      </c>
      <c r="O118" s="97">
        <v>17.27</v>
      </c>
      <c r="P118" s="92">
        <v>337</v>
      </c>
      <c r="Q118" s="92" t="s">
        <v>37</v>
      </c>
      <c r="R118" s="105" t="s">
        <v>27</v>
      </c>
      <c r="S118" s="37"/>
      <c r="T118" s="37"/>
      <c r="U118" s="92"/>
    </row>
    <row r="119" s="4" customFormat="1" ht="33" hidden="1" customHeight="1" spans="1:21">
      <c r="A119" s="79" t="s">
        <v>280</v>
      </c>
      <c r="B119" s="79" t="s">
        <v>158</v>
      </c>
      <c r="C119" s="79" t="s">
        <v>281</v>
      </c>
      <c r="D119" s="79" t="s">
        <v>25</v>
      </c>
      <c r="E119" s="79" t="s">
        <v>189</v>
      </c>
      <c r="F119" s="79" t="s">
        <v>282</v>
      </c>
      <c r="G119" s="35">
        <f t="shared" ref="G119:G125" si="10">F119/E119</f>
        <v>0.666666666666667</v>
      </c>
      <c r="H119" s="80" t="s">
        <v>283</v>
      </c>
      <c r="I119" s="99"/>
      <c r="J119" s="100">
        <v>26.33</v>
      </c>
      <c r="K119" s="100"/>
      <c r="L119" s="99"/>
      <c r="M119" s="101"/>
      <c r="N119" s="45"/>
      <c r="O119" s="45"/>
      <c r="P119" s="45"/>
      <c r="Q119" s="45"/>
      <c r="R119" s="45" t="s">
        <v>52</v>
      </c>
      <c r="S119" s="37"/>
      <c r="T119" s="37"/>
      <c r="U119" s="45"/>
    </row>
    <row r="120" s="4" customFormat="1" ht="62" hidden="1" spans="1:21">
      <c r="A120" s="79" t="s">
        <v>280</v>
      </c>
      <c r="B120" s="79" t="s">
        <v>158</v>
      </c>
      <c r="C120" s="79" t="s">
        <v>284</v>
      </c>
      <c r="D120" s="79" t="s">
        <v>25</v>
      </c>
      <c r="E120" s="79" t="s">
        <v>204</v>
      </c>
      <c r="F120" s="79" t="s">
        <v>218</v>
      </c>
      <c r="G120" s="35">
        <f t="shared" si="10"/>
        <v>0.428571428571429</v>
      </c>
      <c r="H120" s="80" t="s">
        <v>285</v>
      </c>
      <c r="I120" s="45"/>
      <c r="J120" s="102">
        <v>24.42</v>
      </c>
      <c r="K120" s="102"/>
      <c r="L120" s="45"/>
      <c r="M120" s="45"/>
      <c r="N120" s="45"/>
      <c r="O120" s="45"/>
      <c r="P120" s="45"/>
      <c r="Q120" s="45"/>
      <c r="R120" s="45" t="s">
        <v>52</v>
      </c>
      <c r="S120" s="37"/>
      <c r="T120" s="37"/>
      <c r="U120" s="45"/>
    </row>
    <row r="121" s="4" customFormat="1" ht="46.5" hidden="1" spans="1:21">
      <c r="A121" s="79" t="s">
        <v>280</v>
      </c>
      <c r="B121" s="79" t="s">
        <v>30</v>
      </c>
      <c r="C121" s="79" t="s">
        <v>286</v>
      </c>
      <c r="D121" s="79" t="s">
        <v>25</v>
      </c>
      <c r="E121" s="79" t="s">
        <v>189</v>
      </c>
      <c r="F121" s="79" t="s">
        <v>218</v>
      </c>
      <c r="G121" s="35">
        <f t="shared" si="10"/>
        <v>0.5</v>
      </c>
      <c r="H121" s="80" t="s">
        <v>287</v>
      </c>
      <c r="I121" s="45"/>
      <c r="J121" s="102">
        <v>23.75</v>
      </c>
      <c r="K121" s="102"/>
      <c r="L121" s="45"/>
      <c r="M121" s="45"/>
      <c r="N121" s="45"/>
      <c r="O121" s="45"/>
      <c r="P121" s="45"/>
      <c r="Q121" s="45"/>
      <c r="R121" s="45" t="s">
        <v>52</v>
      </c>
      <c r="S121" s="37"/>
      <c r="T121" s="37"/>
      <c r="U121" s="45"/>
    </row>
    <row r="122" s="4" customFormat="1" ht="31" hidden="1" spans="1:21">
      <c r="A122" s="79" t="s">
        <v>280</v>
      </c>
      <c r="B122" s="79" t="s">
        <v>23</v>
      </c>
      <c r="C122" s="79" t="s">
        <v>288</v>
      </c>
      <c r="D122" s="79" t="s">
        <v>25</v>
      </c>
      <c r="E122" s="79" t="s">
        <v>179</v>
      </c>
      <c r="F122" s="79" t="s">
        <v>189</v>
      </c>
      <c r="G122" s="35">
        <f t="shared" si="10"/>
        <v>0.75</v>
      </c>
      <c r="H122" s="80" t="s">
        <v>289</v>
      </c>
      <c r="I122" s="45"/>
      <c r="J122" s="102">
        <v>52.67</v>
      </c>
      <c r="K122" s="102"/>
      <c r="L122" s="45"/>
      <c r="M122" s="45"/>
      <c r="N122" s="45"/>
      <c r="O122" s="45"/>
      <c r="P122" s="45"/>
      <c r="Q122" s="45"/>
      <c r="R122" s="45" t="s">
        <v>52</v>
      </c>
      <c r="S122" s="37"/>
      <c r="T122" s="37"/>
      <c r="U122" s="45"/>
    </row>
    <row r="123" s="4" customFormat="1" ht="30.5" hidden="1" spans="1:21">
      <c r="A123" s="79" t="s">
        <v>280</v>
      </c>
      <c r="B123" s="79" t="s">
        <v>158</v>
      </c>
      <c r="C123" s="79" t="s">
        <v>290</v>
      </c>
      <c r="D123" s="79" t="s">
        <v>25</v>
      </c>
      <c r="E123" s="79" t="s">
        <v>204</v>
      </c>
      <c r="F123" s="79" t="s">
        <v>189</v>
      </c>
      <c r="G123" s="35">
        <f t="shared" si="10"/>
        <v>0.857142857142857</v>
      </c>
      <c r="H123" s="79" t="s">
        <v>291</v>
      </c>
      <c r="I123" s="45"/>
      <c r="J123" s="102">
        <v>43.98</v>
      </c>
      <c r="K123" s="102"/>
      <c r="L123" s="45"/>
      <c r="M123" s="45"/>
      <c r="N123" s="45"/>
      <c r="O123" s="45"/>
      <c r="P123" s="45"/>
      <c r="Q123" s="45"/>
      <c r="R123" s="45" t="s">
        <v>52</v>
      </c>
      <c r="S123" s="37"/>
      <c r="T123" s="37"/>
      <c r="U123" s="45"/>
    </row>
    <row r="124" s="4" customFormat="1" ht="31" hidden="1" spans="1:21">
      <c r="A124" s="79" t="s">
        <v>280</v>
      </c>
      <c r="B124" s="79" t="s">
        <v>30</v>
      </c>
      <c r="C124" s="79" t="s">
        <v>292</v>
      </c>
      <c r="D124" s="79" t="s">
        <v>25</v>
      </c>
      <c r="E124" s="79" t="s">
        <v>204</v>
      </c>
      <c r="F124" s="79" t="s">
        <v>293</v>
      </c>
      <c r="G124" s="35">
        <f t="shared" si="10"/>
        <v>0.714285714285714</v>
      </c>
      <c r="H124" s="79" t="s">
        <v>294</v>
      </c>
      <c r="I124" s="45"/>
      <c r="J124" s="102">
        <v>30.23</v>
      </c>
      <c r="K124" s="102"/>
      <c r="L124" s="45"/>
      <c r="M124" s="45"/>
      <c r="N124" s="45"/>
      <c r="O124" s="45"/>
      <c r="P124" s="45"/>
      <c r="Q124" s="45"/>
      <c r="R124" s="45" t="s">
        <v>52</v>
      </c>
      <c r="S124" s="37"/>
      <c r="T124" s="37"/>
      <c r="U124" s="45"/>
    </row>
    <row r="125" s="4" customFormat="1" ht="30.5" hidden="1" spans="1:21">
      <c r="A125" s="79" t="s">
        <v>280</v>
      </c>
      <c r="B125" s="79" t="s">
        <v>158</v>
      </c>
      <c r="C125" s="79" t="s">
        <v>295</v>
      </c>
      <c r="D125" s="79" t="s">
        <v>25</v>
      </c>
      <c r="E125" s="79" t="s">
        <v>293</v>
      </c>
      <c r="F125" s="79" t="s">
        <v>282</v>
      </c>
      <c r="G125" s="35">
        <f t="shared" si="10"/>
        <v>0.8</v>
      </c>
      <c r="H125" s="79" t="s">
        <v>296</v>
      </c>
      <c r="I125" s="45"/>
      <c r="J125" s="102">
        <v>41.55</v>
      </c>
      <c r="K125" s="102"/>
      <c r="L125" s="45"/>
      <c r="M125" s="45"/>
      <c r="N125" s="45"/>
      <c r="O125" s="45"/>
      <c r="P125" s="45"/>
      <c r="Q125" s="45"/>
      <c r="R125" s="45" t="s">
        <v>52</v>
      </c>
      <c r="S125" s="37"/>
      <c r="T125" s="37"/>
      <c r="U125" s="45"/>
    </row>
    <row r="126" s="4" customFormat="1" hidden="1" spans="1:21">
      <c r="A126" s="81" t="s">
        <v>280</v>
      </c>
      <c r="B126" s="81" t="s">
        <v>30</v>
      </c>
      <c r="C126" s="81" t="s">
        <v>297</v>
      </c>
      <c r="D126" s="81" t="s">
        <v>32</v>
      </c>
      <c r="E126" s="81" t="s">
        <v>211</v>
      </c>
      <c r="F126" s="81" t="s">
        <v>218</v>
      </c>
      <c r="G126" s="32">
        <v>0.2</v>
      </c>
      <c r="H126" s="82" t="s">
        <v>298</v>
      </c>
      <c r="I126" s="82" t="s">
        <v>299</v>
      </c>
      <c r="J126" s="102">
        <v>25.85</v>
      </c>
      <c r="K126" s="102">
        <v>35.54</v>
      </c>
      <c r="L126" s="81" t="s">
        <v>37</v>
      </c>
      <c r="M126" s="101">
        <v>0.421078351523049</v>
      </c>
      <c r="N126" s="45" t="s">
        <v>300</v>
      </c>
      <c r="O126" s="45">
        <v>7.090887</v>
      </c>
      <c r="P126" s="45">
        <v>53</v>
      </c>
      <c r="Q126" s="45" t="s">
        <v>37</v>
      </c>
      <c r="R126" s="45" t="s">
        <v>52</v>
      </c>
      <c r="S126" s="37"/>
      <c r="T126" s="37"/>
      <c r="U126" s="45"/>
    </row>
    <row r="127" s="4" customFormat="1" hidden="1" spans="1:21">
      <c r="A127" s="81"/>
      <c r="B127" s="81"/>
      <c r="C127" s="81"/>
      <c r="D127" s="81"/>
      <c r="E127" s="81"/>
      <c r="F127" s="81"/>
      <c r="G127" s="32"/>
      <c r="H127" s="82"/>
      <c r="I127" s="82"/>
      <c r="J127" s="102"/>
      <c r="K127" s="102"/>
      <c r="L127" s="81"/>
      <c r="M127" s="101"/>
      <c r="N127" s="45" t="s">
        <v>301</v>
      </c>
      <c r="O127" s="45">
        <v>7.909188</v>
      </c>
      <c r="P127" s="45">
        <v>38</v>
      </c>
      <c r="Q127" s="45" t="s">
        <v>37</v>
      </c>
      <c r="R127" s="45"/>
      <c r="S127" s="37"/>
      <c r="T127" s="37"/>
      <c r="U127" s="45"/>
    </row>
    <row r="128" s="4" customFormat="1" hidden="1" spans="1:21">
      <c r="A128" s="81"/>
      <c r="B128" s="81"/>
      <c r="C128" s="81"/>
      <c r="D128" s="81"/>
      <c r="E128" s="81"/>
      <c r="F128" s="81"/>
      <c r="G128" s="32"/>
      <c r="H128" s="82"/>
      <c r="I128" s="82"/>
      <c r="J128" s="102"/>
      <c r="K128" s="102"/>
      <c r="L128" s="81"/>
      <c r="M128" s="101"/>
      <c r="N128" s="45" t="s">
        <v>302</v>
      </c>
      <c r="O128" s="45">
        <v>6.603659</v>
      </c>
      <c r="P128" s="45">
        <v>81</v>
      </c>
      <c r="Q128" s="45" t="s">
        <v>37</v>
      </c>
      <c r="R128" s="45"/>
      <c r="S128" s="37"/>
      <c r="T128" s="37"/>
      <c r="U128" s="45"/>
    </row>
    <row r="129" s="4" customFormat="1" hidden="1" spans="1:23">
      <c r="A129" s="81"/>
      <c r="B129" s="81"/>
      <c r="C129" s="81"/>
      <c r="D129" s="81"/>
      <c r="E129" s="81"/>
      <c r="F129" s="81"/>
      <c r="G129" s="32"/>
      <c r="H129" s="82"/>
      <c r="I129" s="82"/>
      <c r="J129" s="102"/>
      <c r="K129" s="102"/>
      <c r="L129" s="81"/>
      <c r="M129" s="101"/>
      <c r="N129" s="45" t="s">
        <v>303</v>
      </c>
      <c r="O129" s="45">
        <v>4.319647</v>
      </c>
      <c r="P129" s="45">
        <v>78</v>
      </c>
      <c r="Q129" s="45" t="s">
        <v>37</v>
      </c>
      <c r="R129" s="45"/>
      <c r="S129" s="37"/>
      <c r="T129" s="37"/>
      <c r="U129" s="45"/>
      <c r="W129" s="123"/>
    </row>
    <row r="130" s="4" customFormat="1" hidden="1" spans="1:23">
      <c r="A130" s="81"/>
      <c r="B130" s="81"/>
      <c r="C130" s="81"/>
      <c r="D130" s="81"/>
      <c r="E130" s="81"/>
      <c r="F130" s="81"/>
      <c r="G130" s="32"/>
      <c r="H130" s="82"/>
      <c r="I130" s="82"/>
      <c r="J130" s="102"/>
      <c r="K130" s="102"/>
      <c r="L130" s="81"/>
      <c r="M130" s="101"/>
      <c r="N130" s="45" t="s">
        <v>304</v>
      </c>
      <c r="O130" s="45">
        <v>4.114485</v>
      </c>
      <c r="P130" s="45">
        <v>58</v>
      </c>
      <c r="Q130" s="45" t="s">
        <v>37</v>
      </c>
      <c r="R130" s="45"/>
      <c r="S130" s="37"/>
      <c r="T130" s="37"/>
      <c r="U130" s="45"/>
      <c r="W130" s="123"/>
    </row>
    <row r="131" s="4" customFormat="1" hidden="1" spans="1:23">
      <c r="A131" s="81"/>
      <c r="B131" s="81"/>
      <c r="C131" s="81"/>
      <c r="D131" s="81"/>
      <c r="E131" s="81"/>
      <c r="F131" s="81"/>
      <c r="G131" s="32"/>
      <c r="H131" s="82"/>
      <c r="I131" s="82"/>
      <c r="J131" s="102"/>
      <c r="K131" s="102"/>
      <c r="L131" s="81"/>
      <c r="M131" s="101"/>
      <c r="N131" s="45" t="s">
        <v>305</v>
      </c>
      <c r="O131" s="45">
        <v>5.502186</v>
      </c>
      <c r="P131" s="45">
        <v>2</v>
      </c>
      <c r="Q131" s="45" t="s">
        <v>37</v>
      </c>
      <c r="R131" s="45"/>
      <c r="S131" s="37"/>
      <c r="T131" s="37"/>
      <c r="U131" s="45"/>
      <c r="W131" s="123"/>
    </row>
    <row r="132" s="4" customFormat="1" hidden="1" spans="1:23">
      <c r="A132" s="81" t="s">
        <v>280</v>
      </c>
      <c r="B132" s="81" t="s">
        <v>30</v>
      </c>
      <c r="C132" s="81" t="s">
        <v>306</v>
      </c>
      <c r="D132" s="81" t="s">
        <v>32</v>
      </c>
      <c r="E132" s="81" t="s">
        <v>307</v>
      </c>
      <c r="F132" s="81">
        <v>4</v>
      </c>
      <c r="G132" s="32">
        <f>F132/E132</f>
        <v>0.222222222222222</v>
      </c>
      <c r="H132" s="82" t="s">
        <v>308</v>
      </c>
      <c r="I132" s="82" t="s">
        <v>309</v>
      </c>
      <c r="J132" s="102">
        <v>31.21</v>
      </c>
      <c r="K132" s="102">
        <v>13.69</v>
      </c>
      <c r="L132" s="81" t="s">
        <v>37</v>
      </c>
      <c r="M132" s="101">
        <v>0.695100222717149</v>
      </c>
      <c r="N132" s="45"/>
      <c r="O132" s="45"/>
      <c r="P132" s="45"/>
      <c r="Q132" s="45"/>
      <c r="R132" s="45" t="s">
        <v>52</v>
      </c>
      <c r="S132" s="37"/>
      <c r="T132" s="37"/>
      <c r="U132" s="45"/>
      <c r="W132" s="123"/>
    </row>
    <row r="133" s="4" customFormat="1" hidden="1" spans="1:23">
      <c r="A133" s="81"/>
      <c r="B133" s="81"/>
      <c r="C133" s="81"/>
      <c r="D133" s="81"/>
      <c r="E133" s="81"/>
      <c r="F133" s="81"/>
      <c r="G133" s="32"/>
      <c r="H133" s="82"/>
      <c r="I133" s="82"/>
      <c r="J133" s="102"/>
      <c r="K133" s="102"/>
      <c r="L133" s="81"/>
      <c r="M133" s="101"/>
      <c r="N133" s="45"/>
      <c r="O133" s="45"/>
      <c r="P133" s="45"/>
      <c r="Q133" s="45"/>
      <c r="R133" s="45"/>
      <c r="S133" s="37"/>
      <c r="T133" s="37"/>
      <c r="U133" s="45"/>
      <c r="W133" s="123"/>
    </row>
    <row r="134" s="4" customFormat="1" hidden="1" spans="1:23">
      <c r="A134" s="81"/>
      <c r="B134" s="81"/>
      <c r="C134" s="81"/>
      <c r="D134" s="81"/>
      <c r="E134" s="81"/>
      <c r="F134" s="81"/>
      <c r="G134" s="32"/>
      <c r="H134" s="82"/>
      <c r="I134" s="82"/>
      <c r="J134" s="102"/>
      <c r="K134" s="102"/>
      <c r="L134" s="81"/>
      <c r="M134" s="101"/>
      <c r="N134" s="45"/>
      <c r="O134" s="45"/>
      <c r="P134" s="45"/>
      <c r="Q134" s="45"/>
      <c r="R134" s="45"/>
      <c r="S134" s="37"/>
      <c r="T134" s="37"/>
      <c r="U134" s="45"/>
      <c r="W134" s="123"/>
    </row>
    <row r="135" s="4" customFormat="1" hidden="1" spans="1:23">
      <c r="A135" s="81"/>
      <c r="B135" s="81"/>
      <c r="C135" s="81"/>
      <c r="D135" s="81"/>
      <c r="E135" s="81"/>
      <c r="F135" s="81"/>
      <c r="G135" s="32"/>
      <c r="H135" s="82"/>
      <c r="I135" s="82"/>
      <c r="J135" s="102"/>
      <c r="K135" s="102"/>
      <c r="L135" s="81"/>
      <c r="M135" s="101"/>
      <c r="N135" s="45"/>
      <c r="O135" s="45"/>
      <c r="P135" s="45"/>
      <c r="Q135" s="45"/>
      <c r="R135" s="45"/>
      <c r="S135" s="37"/>
      <c r="T135" s="37"/>
      <c r="U135" s="45"/>
      <c r="W135" s="123"/>
    </row>
    <row r="136" s="4" customFormat="1" hidden="1" spans="1:23">
      <c r="A136" s="106" t="s">
        <v>280</v>
      </c>
      <c r="B136" s="106" t="s">
        <v>30</v>
      </c>
      <c r="C136" s="106" t="s">
        <v>310</v>
      </c>
      <c r="D136" s="106" t="s">
        <v>32</v>
      </c>
      <c r="E136" s="106" t="s">
        <v>282</v>
      </c>
      <c r="F136" s="106" t="s">
        <v>311</v>
      </c>
      <c r="G136" s="107">
        <v>0.25</v>
      </c>
      <c r="H136" s="108" t="s">
        <v>312</v>
      </c>
      <c r="I136" s="108" t="s">
        <v>313</v>
      </c>
      <c r="J136" s="115">
        <v>8.13</v>
      </c>
      <c r="K136" s="60">
        <v>6.92</v>
      </c>
      <c r="L136" s="108" t="s">
        <v>37</v>
      </c>
      <c r="M136" s="41">
        <v>0.540199335548173</v>
      </c>
      <c r="N136" s="45" t="s">
        <v>314</v>
      </c>
      <c r="O136" s="45">
        <v>3.221567</v>
      </c>
      <c r="P136" s="45">
        <v>4</v>
      </c>
      <c r="Q136" s="60" t="s">
        <v>37</v>
      </c>
      <c r="R136" s="60" t="s">
        <v>52</v>
      </c>
      <c r="S136" s="37"/>
      <c r="T136" s="37"/>
      <c r="U136" s="45"/>
      <c r="W136" s="123"/>
    </row>
    <row r="137" s="4" customFormat="1" hidden="1" spans="1:23">
      <c r="A137" s="109"/>
      <c r="B137" s="109"/>
      <c r="C137" s="109"/>
      <c r="D137" s="109"/>
      <c r="E137" s="109"/>
      <c r="F137" s="109"/>
      <c r="G137" s="110"/>
      <c r="H137" s="111"/>
      <c r="I137" s="111"/>
      <c r="J137" s="116"/>
      <c r="K137" s="62"/>
      <c r="L137" s="111"/>
      <c r="M137" s="52"/>
      <c r="N137" s="45" t="s">
        <v>315</v>
      </c>
      <c r="O137" s="45">
        <v>3.726804</v>
      </c>
      <c r="P137" s="45">
        <v>5</v>
      </c>
      <c r="Q137" s="62"/>
      <c r="R137" s="62"/>
      <c r="S137" s="37"/>
      <c r="T137" s="37"/>
      <c r="U137" s="45"/>
      <c r="W137" s="123"/>
    </row>
    <row r="138" s="4" customFormat="1" hidden="1" spans="1:23">
      <c r="A138" s="81" t="s">
        <v>280</v>
      </c>
      <c r="B138" s="81" t="s">
        <v>158</v>
      </c>
      <c r="C138" s="81" t="s">
        <v>316</v>
      </c>
      <c r="D138" s="81" t="s">
        <v>32</v>
      </c>
      <c r="E138" s="81" t="s">
        <v>179</v>
      </c>
      <c r="F138" s="81" t="s">
        <v>317</v>
      </c>
      <c r="G138" s="32">
        <v>0.25</v>
      </c>
      <c r="H138" s="82" t="s">
        <v>318</v>
      </c>
      <c r="I138" s="82" t="s">
        <v>319</v>
      </c>
      <c r="J138" s="102">
        <v>5.96</v>
      </c>
      <c r="K138" s="102">
        <v>9.47</v>
      </c>
      <c r="L138" s="81" t="s">
        <v>37</v>
      </c>
      <c r="M138" s="101">
        <v>0.386260531432275</v>
      </c>
      <c r="N138" s="45" t="s">
        <v>320</v>
      </c>
      <c r="O138" s="45">
        <v>2.087789</v>
      </c>
      <c r="P138" s="45">
        <v>44</v>
      </c>
      <c r="Q138" s="45" t="s">
        <v>37</v>
      </c>
      <c r="R138" s="60" t="s">
        <v>52</v>
      </c>
      <c r="S138" s="37"/>
      <c r="T138" s="37"/>
      <c r="U138" s="45"/>
      <c r="W138" s="123"/>
    </row>
    <row r="139" s="4" customFormat="1" hidden="1" spans="1:23">
      <c r="A139" s="81"/>
      <c r="B139" s="81"/>
      <c r="C139" s="81"/>
      <c r="D139" s="81"/>
      <c r="E139" s="81"/>
      <c r="F139" s="81"/>
      <c r="G139" s="32"/>
      <c r="H139" s="82"/>
      <c r="I139" s="82"/>
      <c r="J139" s="102"/>
      <c r="K139" s="102"/>
      <c r="L139" s="81"/>
      <c r="M139" s="101"/>
      <c r="N139" s="45" t="s">
        <v>321</v>
      </c>
      <c r="O139" s="45">
        <v>4.566916</v>
      </c>
      <c r="P139" s="45">
        <v>37</v>
      </c>
      <c r="Q139" s="45" t="s">
        <v>37</v>
      </c>
      <c r="R139" s="61"/>
      <c r="S139" s="37"/>
      <c r="T139" s="37"/>
      <c r="U139" s="45"/>
      <c r="W139" s="123"/>
    </row>
    <row r="140" s="4" customFormat="1" hidden="1" spans="1:23">
      <c r="A140" s="81"/>
      <c r="B140" s="81"/>
      <c r="C140" s="81"/>
      <c r="D140" s="81"/>
      <c r="E140" s="81"/>
      <c r="F140" s="81"/>
      <c r="G140" s="32"/>
      <c r="H140" s="82"/>
      <c r="I140" s="82"/>
      <c r="J140" s="102"/>
      <c r="K140" s="102"/>
      <c r="L140" s="81"/>
      <c r="M140" s="101"/>
      <c r="N140" s="45" t="s">
        <v>322</v>
      </c>
      <c r="O140" s="45">
        <v>2.816851</v>
      </c>
      <c r="P140" s="45">
        <v>56</v>
      </c>
      <c r="Q140" s="45" t="s">
        <v>37</v>
      </c>
      <c r="R140" s="62"/>
      <c r="S140" s="37"/>
      <c r="T140" s="37"/>
      <c r="U140" s="45"/>
      <c r="W140" s="123"/>
    </row>
    <row r="141" s="4" customFormat="1" hidden="1" spans="1:23">
      <c r="A141" s="81" t="s">
        <v>280</v>
      </c>
      <c r="B141" s="81" t="s">
        <v>30</v>
      </c>
      <c r="C141" s="81" t="s">
        <v>323</v>
      </c>
      <c r="D141" s="81" t="s">
        <v>32</v>
      </c>
      <c r="E141" s="81" t="s">
        <v>324</v>
      </c>
      <c r="F141" s="81" t="s">
        <v>293</v>
      </c>
      <c r="G141" s="32">
        <v>0.384615384615385</v>
      </c>
      <c r="H141" s="82" t="s">
        <v>325</v>
      </c>
      <c r="I141" s="82" t="s">
        <v>326</v>
      </c>
      <c r="J141" s="102">
        <v>21.5</v>
      </c>
      <c r="K141" s="117">
        <v>17.62</v>
      </c>
      <c r="L141" s="81" t="s">
        <v>327</v>
      </c>
      <c r="M141" s="101">
        <v>0.54959100204499</v>
      </c>
      <c r="N141" s="45" t="s">
        <v>328</v>
      </c>
      <c r="O141" s="45">
        <v>6.576</v>
      </c>
      <c r="P141" s="45">
        <v>89</v>
      </c>
      <c r="Q141" s="45" t="s">
        <v>37</v>
      </c>
      <c r="R141" s="60" t="s">
        <v>52</v>
      </c>
      <c r="S141" s="37"/>
      <c r="T141" s="37"/>
      <c r="U141" s="45"/>
      <c r="W141" s="123"/>
    </row>
    <row r="142" s="4" customFormat="1" hidden="1" spans="1:23">
      <c r="A142" s="81"/>
      <c r="B142" s="81"/>
      <c r="C142" s="81"/>
      <c r="D142" s="81"/>
      <c r="E142" s="81"/>
      <c r="F142" s="81"/>
      <c r="G142" s="32"/>
      <c r="H142" s="82"/>
      <c r="I142" s="82"/>
      <c r="J142" s="102"/>
      <c r="K142" s="117"/>
      <c r="L142" s="81"/>
      <c r="M142" s="101"/>
      <c r="N142" s="45" t="s">
        <v>329</v>
      </c>
      <c r="O142" s="45">
        <v>2.8068</v>
      </c>
      <c r="P142" s="45">
        <v>45</v>
      </c>
      <c r="Q142" s="45" t="s">
        <v>37</v>
      </c>
      <c r="R142" s="61"/>
      <c r="S142" s="37"/>
      <c r="T142" s="37"/>
      <c r="U142" s="45"/>
      <c r="W142" s="123"/>
    </row>
    <row r="143" s="4" customFormat="1" hidden="1" spans="1:23">
      <c r="A143" s="81"/>
      <c r="B143" s="81"/>
      <c r="C143" s="81"/>
      <c r="D143" s="81"/>
      <c r="E143" s="81"/>
      <c r="F143" s="81"/>
      <c r="G143" s="32"/>
      <c r="H143" s="82"/>
      <c r="I143" s="82"/>
      <c r="J143" s="102"/>
      <c r="K143" s="117"/>
      <c r="L143" s="81"/>
      <c r="M143" s="101"/>
      <c r="N143" s="45" t="s">
        <v>330</v>
      </c>
      <c r="O143" s="45">
        <v>3.1236</v>
      </c>
      <c r="P143" s="45" t="s">
        <v>331</v>
      </c>
      <c r="Q143" s="45" t="s">
        <v>44</v>
      </c>
      <c r="R143" s="61"/>
      <c r="S143" s="37"/>
      <c r="T143" s="37"/>
      <c r="U143" s="45"/>
      <c r="W143" s="123"/>
    </row>
    <row r="144" s="4" customFormat="1" hidden="1" spans="1:21">
      <c r="A144" s="81"/>
      <c r="B144" s="81"/>
      <c r="C144" s="81"/>
      <c r="D144" s="81"/>
      <c r="E144" s="81"/>
      <c r="F144" s="81"/>
      <c r="G144" s="32"/>
      <c r="H144" s="82"/>
      <c r="I144" s="82"/>
      <c r="J144" s="102"/>
      <c r="K144" s="117"/>
      <c r="L144" s="81"/>
      <c r="M144" s="101"/>
      <c r="N144" s="45" t="s">
        <v>332</v>
      </c>
      <c r="O144" s="45">
        <v>5.1144</v>
      </c>
      <c r="P144" s="45">
        <v>34</v>
      </c>
      <c r="Q144" s="45" t="s">
        <v>37</v>
      </c>
      <c r="R144" s="62"/>
      <c r="S144" s="37"/>
      <c r="T144" s="37"/>
      <c r="U144" s="45"/>
    </row>
    <row r="145" s="4" customFormat="1" ht="60" hidden="1" spans="1:21">
      <c r="A145" s="81" t="s">
        <v>280</v>
      </c>
      <c r="B145" s="81" t="s">
        <v>158</v>
      </c>
      <c r="C145" s="81" t="s">
        <v>333</v>
      </c>
      <c r="D145" s="81" t="s">
        <v>32</v>
      </c>
      <c r="E145" s="81">
        <v>7</v>
      </c>
      <c r="F145" s="81">
        <v>5</v>
      </c>
      <c r="G145" s="32">
        <f>F145/E145</f>
        <v>0.714285714285714</v>
      </c>
      <c r="H145" s="82" t="s">
        <v>334</v>
      </c>
      <c r="I145" s="82" t="s">
        <v>335</v>
      </c>
      <c r="J145" s="102">
        <v>6.07</v>
      </c>
      <c r="K145" s="102">
        <v>4.89</v>
      </c>
      <c r="L145" s="82" t="s">
        <v>37</v>
      </c>
      <c r="M145" s="35">
        <v>0.553832116788321</v>
      </c>
      <c r="N145" s="45" t="s">
        <v>336</v>
      </c>
      <c r="O145" s="45">
        <v>4.898935</v>
      </c>
      <c r="P145" s="45">
        <v>52</v>
      </c>
      <c r="Q145" s="45" t="s">
        <v>37</v>
      </c>
      <c r="R145" s="45" t="s">
        <v>52</v>
      </c>
      <c r="S145" s="37"/>
      <c r="T145" s="37"/>
      <c r="U145" s="45"/>
    </row>
    <row r="146" s="4" customFormat="1" hidden="1" spans="1:21">
      <c r="A146" s="81" t="s">
        <v>280</v>
      </c>
      <c r="B146" s="81" t="s">
        <v>30</v>
      </c>
      <c r="C146" s="81" t="s">
        <v>337</v>
      </c>
      <c r="D146" s="81" t="s">
        <v>32</v>
      </c>
      <c r="E146" s="81" t="s">
        <v>247</v>
      </c>
      <c r="F146" s="81">
        <v>5</v>
      </c>
      <c r="G146" s="32">
        <f>F146/E146</f>
        <v>0.238095238095238</v>
      </c>
      <c r="H146" s="82" t="s">
        <v>338</v>
      </c>
      <c r="I146" s="82" t="s">
        <v>339</v>
      </c>
      <c r="J146" s="102">
        <v>19.08</v>
      </c>
      <c r="K146" s="117">
        <v>17.12</v>
      </c>
      <c r="L146" s="81" t="s">
        <v>327</v>
      </c>
      <c r="M146" s="101">
        <v>0.52707182320442</v>
      </c>
      <c r="N146" s="45" t="s">
        <v>340</v>
      </c>
      <c r="O146" s="45">
        <v>3.5616</v>
      </c>
      <c r="P146" s="45">
        <v>59</v>
      </c>
      <c r="Q146" s="45" t="s">
        <v>37</v>
      </c>
      <c r="R146" s="45" t="s">
        <v>52</v>
      </c>
      <c r="S146" s="37"/>
      <c r="T146" s="37"/>
      <c r="U146" s="45"/>
    </row>
    <row r="147" s="4" customFormat="1" hidden="1" spans="1:21">
      <c r="A147" s="81"/>
      <c r="B147" s="81"/>
      <c r="C147" s="81"/>
      <c r="D147" s="81"/>
      <c r="E147" s="81"/>
      <c r="F147" s="81"/>
      <c r="G147" s="32"/>
      <c r="H147" s="82"/>
      <c r="I147" s="82"/>
      <c r="J147" s="102"/>
      <c r="K147" s="117"/>
      <c r="L147" s="81"/>
      <c r="M147" s="101"/>
      <c r="N147" s="45" t="s">
        <v>341</v>
      </c>
      <c r="O147" s="45">
        <v>6.1944</v>
      </c>
      <c r="P147" s="45">
        <v>62</v>
      </c>
      <c r="Q147" s="45" t="s">
        <v>37</v>
      </c>
      <c r="R147" s="45"/>
      <c r="S147" s="37"/>
      <c r="T147" s="37"/>
      <c r="U147" s="45"/>
    </row>
    <row r="148" s="4" customFormat="1" hidden="1" spans="1:21">
      <c r="A148" s="81"/>
      <c r="B148" s="81"/>
      <c r="C148" s="81"/>
      <c r="D148" s="81"/>
      <c r="E148" s="81"/>
      <c r="F148" s="81"/>
      <c r="G148" s="32"/>
      <c r="H148" s="82"/>
      <c r="I148" s="82"/>
      <c r="J148" s="102"/>
      <c r="K148" s="117"/>
      <c r="L148" s="81"/>
      <c r="M148" s="101"/>
      <c r="N148" s="45" t="s">
        <v>342</v>
      </c>
      <c r="O148" s="45">
        <v>1.866</v>
      </c>
      <c r="P148" s="45" t="s">
        <v>331</v>
      </c>
      <c r="Q148" s="45" t="s">
        <v>44</v>
      </c>
      <c r="R148" s="45"/>
      <c r="S148" s="37"/>
      <c r="T148" s="37"/>
      <c r="U148" s="45"/>
    </row>
    <row r="149" s="4" customFormat="1" hidden="1" spans="1:21">
      <c r="A149" s="81"/>
      <c r="B149" s="81"/>
      <c r="C149" s="81"/>
      <c r="D149" s="81"/>
      <c r="E149" s="81"/>
      <c r="F149" s="81"/>
      <c r="G149" s="32"/>
      <c r="H149" s="82"/>
      <c r="I149" s="82"/>
      <c r="J149" s="102"/>
      <c r="K149" s="117"/>
      <c r="L149" s="81"/>
      <c r="M149" s="101"/>
      <c r="N149" s="45" t="s">
        <v>343</v>
      </c>
      <c r="O149" s="45">
        <v>3.1716</v>
      </c>
      <c r="P149" s="45">
        <v>31</v>
      </c>
      <c r="Q149" s="45" t="s">
        <v>37</v>
      </c>
      <c r="R149" s="45"/>
      <c r="S149" s="37"/>
      <c r="T149" s="37"/>
      <c r="U149" s="45"/>
    </row>
    <row r="150" s="4" customFormat="1" hidden="1" spans="1:21">
      <c r="A150" s="81"/>
      <c r="B150" s="81"/>
      <c r="C150" s="81"/>
      <c r="D150" s="81"/>
      <c r="E150" s="81"/>
      <c r="F150" s="81"/>
      <c r="G150" s="32"/>
      <c r="H150" s="82"/>
      <c r="I150" s="82"/>
      <c r="J150" s="102"/>
      <c r="K150" s="117"/>
      <c r="L150" s="81"/>
      <c r="M150" s="101"/>
      <c r="N150" s="45" t="s">
        <v>344</v>
      </c>
      <c r="O150" s="45">
        <v>2.3292</v>
      </c>
      <c r="P150" s="45">
        <v>28</v>
      </c>
      <c r="Q150" s="45" t="s">
        <v>37</v>
      </c>
      <c r="R150" s="45"/>
      <c r="S150" s="37"/>
      <c r="T150" s="37"/>
      <c r="U150" s="45"/>
    </row>
    <row r="151" s="4" customFormat="1" hidden="1" spans="1:21">
      <c r="A151" s="81" t="s">
        <v>280</v>
      </c>
      <c r="B151" s="81" t="s">
        <v>30</v>
      </c>
      <c r="C151" s="81" t="s">
        <v>345</v>
      </c>
      <c r="D151" s="81" t="s">
        <v>32</v>
      </c>
      <c r="E151" s="81" t="s">
        <v>211</v>
      </c>
      <c r="F151" s="81" t="s">
        <v>282</v>
      </c>
      <c r="G151" s="32">
        <v>0.266666666666667</v>
      </c>
      <c r="H151" s="82" t="s">
        <v>346</v>
      </c>
      <c r="I151" s="82" t="s">
        <v>347</v>
      </c>
      <c r="J151" s="102">
        <v>28.74</v>
      </c>
      <c r="K151" s="102">
        <v>20.37</v>
      </c>
      <c r="L151" s="81" t="s">
        <v>37</v>
      </c>
      <c r="M151" s="101">
        <v>0.585216860109957</v>
      </c>
      <c r="N151" s="45" t="s">
        <v>348</v>
      </c>
      <c r="O151" s="45">
        <v>4.1412</v>
      </c>
      <c r="P151" s="45">
        <v>46</v>
      </c>
      <c r="Q151" s="45" t="s">
        <v>37</v>
      </c>
      <c r="R151" s="45" t="s">
        <v>52</v>
      </c>
      <c r="S151" s="37"/>
      <c r="T151" s="37"/>
      <c r="U151" s="45"/>
    </row>
    <row r="152" s="4" customFormat="1" hidden="1" spans="1:21">
      <c r="A152" s="81"/>
      <c r="B152" s="81"/>
      <c r="C152" s="81"/>
      <c r="D152" s="81"/>
      <c r="E152" s="81"/>
      <c r="F152" s="81"/>
      <c r="G152" s="32"/>
      <c r="H152" s="82"/>
      <c r="I152" s="82"/>
      <c r="J152" s="102"/>
      <c r="K152" s="102"/>
      <c r="L152" s="81"/>
      <c r="M152" s="101"/>
      <c r="N152" s="45" t="s">
        <v>349</v>
      </c>
      <c r="O152" s="45">
        <v>6.49803</v>
      </c>
      <c r="P152" s="45">
        <v>57</v>
      </c>
      <c r="Q152" s="45" t="s">
        <v>37</v>
      </c>
      <c r="R152" s="45"/>
      <c r="S152" s="37"/>
      <c r="T152" s="37"/>
      <c r="U152" s="45"/>
    </row>
    <row r="153" s="4" customFormat="1" hidden="1" spans="1:21">
      <c r="A153" s="81"/>
      <c r="B153" s="81"/>
      <c r="C153" s="81"/>
      <c r="D153" s="81"/>
      <c r="E153" s="81"/>
      <c r="F153" s="81"/>
      <c r="G153" s="32"/>
      <c r="H153" s="82"/>
      <c r="I153" s="82"/>
      <c r="J153" s="102"/>
      <c r="K153" s="102"/>
      <c r="L153" s="81"/>
      <c r="M153" s="101"/>
      <c r="N153" s="45" t="s">
        <v>350</v>
      </c>
      <c r="O153" s="45">
        <v>3.98286</v>
      </c>
      <c r="P153" s="45">
        <v>48</v>
      </c>
      <c r="Q153" s="45" t="s">
        <v>37</v>
      </c>
      <c r="R153" s="45"/>
      <c r="S153" s="37"/>
      <c r="T153" s="37"/>
      <c r="U153" s="45"/>
    </row>
    <row r="154" s="4" customFormat="1" hidden="1" spans="1:21">
      <c r="A154" s="81"/>
      <c r="B154" s="81"/>
      <c r="C154" s="81"/>
      <c r="D154" s="81"/>
      <c r="E154" s="81"/>
      <c r="F154" s="81"/>
      <c r="G154" s="32"/>
      <c r="H154" s="82"/>
      <c r="I154" s="82"/>
      <c r="J154" s="102"/>
      <c r="K154" s="102"/>
      <c r="L154" s="81"/>
      <c r="M154" s="101"/>
      <c r="N154" s="45" t="s">
        <v>351</v>
      </c>
      <c r="O154" s="45">
        <v>5.5419</v>
      </c>
      <c r="P154" s="45">
        <v>52</v>
      </c>
      <c r="Q154" s="45" t="s">
        <v>37</v>
      </c>
      <c r="R154" s="45"/>
      <c r="S154" s="37"/>
      <c r="T154" s="37"/>
      <c r="U154" s="45"/>
    </row>
    <row r="155" s="4" customFormat="1" hidden="1" spans="1:21">
      <c r="A155" s="81"/>
      <c r="B155" s="81"/>
      <c r="C155" s="81"/>
      <c r="D155" s="81"/>
      <c r="E155" s="81"/>
      <c r="F155" s="81"/>
      <c r="G155" s="32"/>
      <c r="H155" s="82"/>
      <c r="I155" s="82"/>
      <c r="J155" s="102"/>
      <c r="K155" s="102"/>
      <c r="L155" s="81"/>
      <c r="M155" s="101"/>
      <c r="N155" s="45" t="s">
        <v>352</v>
      </c>
      <c r="O155" s="45">
        <v>4.34826</v>
      </c>
      <c r="P155" s="45">
        <v>50</v>
      </c>
      <c r="Q155" s="45" t="s">
        <v>37</v>
      </c>
      <c r="R155" s="45"/>
      <c r="S155" s="37"/>
      <c r="T155" s="37"/>
      <c r="U155" s="45"/>
    </row>
    <row r="156" s="4" customFormat="1" hidden="1" spans="1:21">
      <c r="A156" s="81" t="s">
        <v>280</v>
      </c>
      <c r="B156" s="81" t="s">
        <v>30</v>
      </c>
      <c r="C156" s="81" t="s">
        <v>353</v>
      </c>
      <c r="D156" s="81" t="s">
        <v>32</v>
      </c>
      <c r="E156" s="81" t="s">
        <v>324</v>
      </c>
      <c r="F156" s="81" t="s">
        <v>218</v>
      </c>
      <c r="G156" s="32">
        <v>0.230769230769231</v>
      </c>
      <c r="H156" s="82" t="s">
        <v>354</v>
      </c>
      <c r="I156" s="82" t="s">
        <v>355</v>
      </c>
      <c r="J156" s="102">
        <v>22.43</v>
      </c>
      <c r="K156" s="102">
        <v>7.88</v>
      </c>
      <c r="L156" s="82" t="s">
        <v>37</v>
      </c>
      <c r="M156" s="101">
        <v>0.74</v>
      </c>
      <c r="N156" s="45"/>
      <c r="O156" s="45"/>
      <c r="P156" s="45"/>
      <c r="Q156" s="45"/>
      <c r="R156" s="45" t="s">
        <v>52</v>
      </c>
      <c r="S156" s="37"/>
      <c r="T156" s="37"/>
      <c r="U156" s="45"/>
    </row>
    <row r="157" s="4" customFormat="1" hidden="1" spans="1:21">
      <c r="A157" s="81"/>
      <c r="B157" s="81"/>
      <c r="C157" s="81"/>
      <c r="D157" s="81"/>
      <c r="E157" s="81"/>
      <c r="F157" s="81"/>
      <c r="G157" s="32"/>
      <c r="H157" s="82"/>
      <c r="I157" s="82"/>
      <c r="J157" s="102"/>
      <c r="K157" s="102"/>
      <c r="L157" s="82"/>
      <c r="M157" s="101"/>
      <c r="N157" s="45"/>
      <c r="O157" s="45"/>
      <c r="P157" s="45"/>
      <c r="Q157" s="45"/>
      <c r="R157" s="45"/>
      <c r="S157" s="37"/>
      <c r="T157" s="37"/>
      <c r="U157" s="45"/>
    </row>
    <row r="158" s="4" customFormat="1" hidden="1" spans="1:21">
      <c r="A158" s="81" t="s">
        <v>280</v>
      </c>
      <c r="B158" s="81" t="s">
        <v>158</v>
      </c>
      <c r="C158" s="81" t="s">
        <v>356</v>
      </c>
      <c r="D158" s="81" t="s">
        <v>32</v>
      </c>
      <c r="E158" s="81" t="s">
        <v>293</v>
      </c>
      <c r="F158" s="81">
        <v>3</v>
      </c>
      <c r="G158" s="32">
        <f>F158/E158</f>
        <v>0.6</v>
      </c>
      <c r="H158" s="82" t="s">
        <v>357</v>
      </c>
      <c r="I158" s="82" t="s">
        <v>358</v>
      </c>
      <c r="J158" s="102">
        <v>9.69</v>
      </c>
      <c r="K158" s="102">
        <v>2.11</v>
      </c>
      <c r="L158" s="81" t="s">
        <v>37</v>
      </c>
      <c r="M158" s="101">
        <v>0.87293</v>
      </c>
      <c r="N158" s="45"/>
      <c r="O158" s="45"/>
      <c r="P158" s="45"/>
      <c r="Q158" s="45"/>
      <c r="R158" s="45" t="s">
        <v>52</v>
      </c>
      <c r="S158" s="37"/>
      <c r="T158" s="37"/>
      <c r="U158" s="45"/>
    </row>
    <row r="159" s="4" customFormat="1" hidden="1" spans="1:21">
      <c r="A159" s="81"/>
      <c r="B159" s="81"/>
      <c r="C159" s="81"/>
      <c r="D159" s="81"/>
      <c r="E159" s="81"/>
      <c r="F159" s="81"/>
      <c r="G159" s="32"/>
      <c r="H159" s="82"/>
      <c r="I159" s="82"/>
      <c r="J159" s="102"/>
      <c r="K159" s="102"/>
      <c r="L159" s="81"/>
      <c r="M159" s="101"/>
      <c r="N159" s="45"/>
      <c r="O159" s="45"/>
      <c r="P159" s="45"/>
      <c r="Q159" s="45"/>
      <c r="R159" s="45"/>
      <c r="S159" s="37"/>
      <c r="T159" s="37"/>
      <c r="U159" s="45"/>
    </row>
    <row r="160" s="4" customFormat="1" hidden="1" spans="1:21">
      <c r="A160" s="81"/>
      <c r="B160" s="81"/>
      <c r="C160" s="81"/>
      <c r="D160" s="81"/>
      <c r="E160" s="81"/>
      <c r="F160" s="81"/>
      <c r="G160" s="32"/>
      <c r="H160" s="82"/>
      <c r="I160" s="82"/>
      <c r="J160" s="102"/>
      <c r="K160" s="102"/>
      <c r="L160" s="81"/>
      <c r="M160" s="101"/>
      <c r="N160" s="45"/>
      <c r="O160" s="45"/>
      <c r="P160" s="45"/>
      <c r="Q160" s="45"/>
      <c r="R160" s="45"/>
      <c r="S160" s="37"/>
      <c r="T160" s="37"/>
      <c r="U160" s="45"/>
    </row>
    <row r="161" s="4" customFormat="1" hidden="1" spans="1:21">
      <c r="A161" s="81" t="s">
        <v>280</v>
      </c>
      <c r="B161" s="81" t="s">
        <v>30</v>
      </c>
      <c r="C161" s="81" t="s">
        <v>359</v>
      </c>
      <c r="D161" s="81" t="s">
        <v>32</v>
      </c>
      <c r="E161" s="81" t="s">
        <v>360</v>
      </c>
      <c r="F161" s="81" t="s">
        <v>282</v>
      </c>
      <c r="G161" s="32">
        <v>0.285714285714286</v>
      </c>
      <c r="H161" s="82" t="s">
        <v>361</v>
      </c>
      <c r="I161" s="82" t="s">
        <v>362</v>
      </c>
      <c r="J161" s="102">
        <v>30.8</v>
      </c>
      <c r="K161" s="102">
        <v>23.47</v>
      </c>
      <c r="L161" s="81" t="s">
        <v>37</v>
      </c>
      <c r="M161" s="101">
        <v>0.56753270683619</v>
      </c>
      <c r="N161" s="45" t="s">
        <v>363</v>
      </c>
      <c r="O161" s="45">
        <v>6.0165</v>
      </c>
      <c r="P161" s="45">
        <v>58</v>
      </c>
      <c r="Q161" s="45" t="s">
        <v>37</v>
      </c>
      <c r="R161" s="45" t="s">
        <v>52</v>
      </c>
      <c r="S161" s="37"/>
      <c r="T161" s="37"/>
      <c r="U161" s="45"/>
    </row>
    <row r="162" s="4" customFormat="1" hidden="1" spans="1:21">
      <c r="A162" s="81"/>
      <c r="B162" s="81"/>
      <c r="C162" s="81"/>
      <c r="D162" s="81"/>
      <c r="E162" s="81"/>
      <c r="F162" s="81"/>
      <c r="G162" s="32"/>
      <c r="H162" s="82"/>
      <c r="I162" s="82"/>
      <c r="J162" s="102"/>
      <c r="K162" s="102"/>
      <c r="L162" s="81"/>
      <c r="M162" s="101"/>
      <c r="N162" s="45" t="s">
        <v>364</v>
      </c>
      <c r="O162" s="45">
        <v>4.7035</v>
      </c>
      <c r="P162" s="45">
        <v>69</v>
      </c>
      <c r="Q162" s="45" t="s">
        <v>37</v>
      </c>
      <c r="R162" s="45"/>
      <c r="S162" s="37"/>
      <c r="T162" s="37"/>
      <c r="U162" s="45"/>
    </row>
    <row r="163" s="4" customFormat="1" hidden="1" spans="1:21">
      <c r="A163" s="81"/>
      <c r="B163" s="81"/>
      <c r="C163" s="81"/>
      <c r="D163" s="81"/>
      <c r="E163" s="81"/>
      <c r="F163" s="81"/>
      <c r="G163" s="32"/>
      <c r="H163" s="82"/>
      <c r="I163" s="82"/>
      <c r="J163" s="102"/>
      <c r="K163" s="102"/>
      <c r="L163" s="81"/>
      <c r="M163" s="101"/>
      <c r="N163" s="45" t="s">
        <v>365</v>
      </c>
      <c r="O163" s="45">
        <v>7.5184</v>
      </c>
      <c r="P163" s="45">
        <v>52</v>
      </c>
      <c r="Q163" s="45" t="s">
        <v>37</v>
      </c>
      <c r="R163" s="45"/>
      <c r="S163" s="37"/>
      <c r="T163" s="37"/>
      <c r="U163" s="45"/>
    </row>
    <row r="164" s="4" customFormat="1" hidden="1" spans="1:21">
      <c r="A164" s="81"/>
      <c r="B164" s="81"/>
      <c r="C164" s="81"/>
      <c r="D164" s="81"/>
      <c r="E164" s="81"/>
      <c r="F164" s="81"/>
      <c r="G164" s="32"/>
      <c r="H164" s="82"/>
      <c r="I164" s="82"/>
      <c r="J164" s="102"/>
      <c r="K164" s="102"/>
      <c r="L164" s="81"/>
      <c r="M164" s="101"/>
      <c r="N164" s="45" t="s">
        <v>366</v>
      </c>
      <c r="O164" s="45">
        <v>5.0853</v>
      </c>
      <c r="P164" s="45">
        <v>48</v>
      </c>
      <c r="Q164" s="45" t="s">
        <v>37</v>
      </c>
      <c r="R164" s="45"/>
      <c r="S164" s="37"/>
      <c r="T164" s="37"/>
      <c r="U164" s="45"/>
    </row>
    <row r="165" s="4" customFormat="1" hidden="1" spans="1:21">
      <c r="A165" s="81"/>
      <c r="B165" s="81"/>
      <c r="C165" s="81"/>
      <c r="D165" s="81"/>
      <c r="E165" s="81"/>
      <c r="F165" s="81"/>
      <c r="G165" s="32"/>
      <c r="H165" s="82"/>
      <c r="I165" s="82"/>
      <c r="J165" s="102"/>
      <c r="K165" s="102"/>
      <c r="L165" s="81"/>
      <c r="M165" s="101"/>
      <c r="N165" s="45" t="s">
        <v>367</v>
      </c>
      <c r="O165" s="45">
        <v>0.1524</v>
      </c>
      <c r="P165" s="45">
        <v>19</v>
      </c>
      <c r="Q165" s="45" t="s">
        <v>37</v>
      </c>
      <c r="R165" s="45"/>
      <c r="S165" s="37"/>
      <c r="T165" s="37"/>
      <c r="U165" s="45"/>
    </row>
    <row r="166" s="4" customFormat="1" hidden="1" spans="1:21">
      <c r="A166" s="81" t="s">
        <v>280</v>
      </c>
      <c r="B166" s="81" t="s">
        <v>30</v>
      </c>
      <c r="C166" s="81" t="s">
        <v>368</v>
      </c>
      <c r="D166" s="81" t="s">
        <v>32</v>
      </c>
      <c r="E166" s="81" t="s">
        <v>211</v>
      </c>
      <c r="F166" s="81" t="s">
        <v>317</v>
      </c>
      <c r="G166" s="32">
        <v>0.133333333333333</v>
      </c>
      <c r="H166" s="82" t="s">
        <v>369</v>
      </c>
      <c r="I166" s="82" t="s">
        <v>370</v>
      </c>
      <c r="J166" s="102">
        <v>14.17</v>
      </c>
      <c r="K166" s="102">
        <v>22.65</v>
      </c>
      <c r="L166" s="81" t="s">
        <v>37</v>
      </c>
      <c r="M166" s="101">
        <v>0.384845192829984</v>
      </c>
      <c r="N166" s="45" t="s">
        <v>371</v>
      </c>
      <c r="O166" s="45">
        <v>2.347013</v>
      </c>
      <c r="P166" s="45">
        <v>32</v>
      </c>
      <c r="Q166" s="45" t="s">
        <v>37</v>
      </c>
      <c r="R166" s="45" t="s">
        <v>52</v>
      </c>
      <c r="S166" s="37"/>
      <c r="T166" s="37"/>
      <c r="U166" s="45"/>
    </row>
    <row r="167" s="4" customFormat="1" hidden="1" spans="1:21">
      <c r="A167" s="81"/>
      <c r="B167" s="81"/>
      <c r="C167" s="81"/>
      <c r="D167" s="81"/>
      <c r="E167" s="81"/>
      <c r="F167" s="81"/>
      <c r="G167" s="32"/>
      <c r="H167" s="82"/>
      <c r="I167" s="82"/>
      <c r="J167" s="102"/>
      <c r="K167" s="102"/>
      <c r="L167" s="81"/>
      <c r="M167" s="101"/>
      <c r="N167" s="45" t="s">
        <v>372</v>
      </c>
      <c r="O167" s="45">
        <v>4.773479</v>
      </c>
      <c r="P167" s="45">
        <v>22</v>
      </c>
      <c r="Q167" s="45" t="s">
        <v>37</v>
      </c>
      <c r="R167" s="45"/>
      <c r="S167" s="37"/>
      <c r="T167" s="37"/>
      <c r="U167" s="45"/>
    </row>
    <row r="168" s="4" customFormat="1" hidden="1" spans="1:21">
      <c r="A168" s="81"/>
      <c r="B168" s="81"/>
      <c r="C168" s="81"/>
      <c r="D168" s="81"/>
      <c r="E168" s="81"/>
      <c r="F168" s="81"/>
      <c r="G168" s="32"/>
      <c r="H168" s="82"/>
      <c r="I168" s="82"/>
      <c r="J168" s="102"/>
      <c r="K168" s="102"/>
      <c r="L168" s="81"/>
      <c r="M168" s="101"/>
      <c r="N168" s="45" t="s">
        <v>373</v>
      </c>
      <c r="O168" s="45">
        <v>4.047216</v>
      </c>
      <c r="P168" s="45">
        <v>43</v>
      </c>
      <c r="Q168" s="45" t="s">
        <v>37</v>
      </c>
      <c r="R168" s="45"/>
      <c r="S168" s="37"/>
      <c r="T168" s="37"/>
      <c r="U168" s="45"/>
    </row>
    <row r="169" s="4" customFormat="1" hidden="1" spans="1:21">
      <c r="A169" s="81"/>
      <c r="B169" s="81"/>
      <c r="C169" s="81"/>
      <c r="D169" s="81"/>
      <c r="E169" s="81"/>
      <c r="F169" s="81"/>
      <c r="G169" s="32"/>
      <c r="H169" s="82"/>
      <c r="I169" s="82"/>
      <c r="J169" s="102"/>
      <c r="K169" s="102"/>
      <c r="L169" s="81"/>
      <c r="M169" s="101"/>
      <c r="N169" s="45" t="s">
        <v>374</v>
      </c>
      <c r="O169" s="45">
        <v>3.011405</v>
      </c>
      <c r="P169" s="45">
        <v>7</v>
      </c>
      <c r="Q169" s="45" t="s">
        <v>37</v>
      </c>
      <c r="R169" s="45"/>
      <c r="S169" s="37"/>
      <c r="T169" s="37"/>
      <c r="U169" s="45"/>
    </row>
    <row r="170" ht="186" hidden="1" spans="1:21">
      <c r="A170" s="79" t="s">
        <v>280</v>
      </c>
      <c r="B170" s="79" t="s">
        <v>30</v>
      </c>
      <c r="C170" s="79" t="s">
        <v>375</v>
      </c>
      <c r="D170" s="79" t="s">
        <v>32</v>
      </c>
      <c r="E170" s="79" t="s">
        <v>266</v>
      </c>
      <c r="F170" s="79" t="s">
        <v>185</v>
      </c>
      <c r="G170" s="35">
        <f t="shared" ref="G170:G189" si="11">F170/E170</f>
        <v>0.5</v>
      </c>
      <c r="H170" s="79" t="s">
        <v>376</v>
      </c>
      <c r="I170" s="79" t="s">
        <v>377</v>
      </c>
      <c r="J170" s="118">
        <v>40.24</v>
      </c>
      <c r="K170" s="102">
        <v>4.28</v>
      </c>
      <c r="L170" s="79" t="s">
        <v>44</v>
      </c>
      <c r="M170" s="35">
        <v>0.903863432165319</v>
      </c>
      <c r="N170" s="45"/>
      <c r="O170" s="45"/>
      <c r="P170" s="45"/>
      <c r="Q170" s="45"/>
      <c r="R170" s="45" t="s">
        <v>38</v>
      </c>
      <c r="S170" s="37"/>
      <c r="T170" s="37"/>
      <c r="U170" s="37"/>
    </row>
    <row r="171" ht="77.5" hidden="1" spans="1:21">
      <c r="A171" s="79" t="s">
        <v>280</v>
      </c>
      <c r="B171" s="79" t="s">
        <v>23</v>
      </c>
      <c r="C171" s="79" t="s">
        <v>378</v>
      </c>
      <c r="D171" s="79" t="s">
        <v>32</v>
      </c>
      <c r="E171" s="79" t="s">
        <v>176</v>
      </c>
      <c r="F171" s="79" t="s">
        <v>293</v>
      </c>
      <c r="G171" s="35">
        <f t="shared" si="11"/>
        <v>0.5</v>
      </c>
      <c r="H171" s="79" t="s">
        <v>379</v>
      </c>
      <c r="I171" s="79" t="s">
        <v>380</v>
      </c>
      <c r="J171" s="118">
        <v>20.56</v>
      </c>
      <c r="K171" s="102">
        <v>7</v>
      </c>
      <c r="L171" s="79" t="s">
        <v>381</v>
      </c>
      <c r="M171" s="35">
        <v>0.746008708272859</v>
      </c>
      <c r="N171" s="45"/>
      <c r="O171" s="45"/>
      <c r="P171" s="45"/>
      <c r="Q171" s="45"/>
      <c r="R171" s="45" t="s">
        <v>52</v>
      </c>
      <c r="S171" s="37"/>
      <c r="T171" s="37"/>
      <c r="U171" s="37"/>
    </row>
    <row r="172" ht="93" hidden="1" spans="1:21">
      <c r="A172" s="79" t="s">
        <v>280</v>
      </c>
      <c r="B172" s="79" t="s">
        <v>30</v>
      </c>
      <c r="C172" s="79" t="s">
        <v>382</v>
      </c>
      <c r="D172" s="79" t="s">
        <v>32</v>
      </c>
      <c r="E172" s="79" t="s">
        <v>185</v>
      </c>
      <c r="F172" s="79" t="s">
        <v>293</v>
      </c>
      <c r="G172" s="35">
        <f t="shared" si="11"/>
        <v>0.454545454545455</v>
      </c>
      <c r="H172" s="79" t="s">
        <v>383</v>
      </c>
      <c r="I172" s="79" t="s">
        <v>384</v>
      </c>
      <c r="J172" s="118">
        <v>29.18</v>
      </c>
      <c r="K172" s="102">
        <v>11.74</v>
      </c>
      <c r="L172" s="79" t="s">
        <v>44</v>
      </c>
      <c r="M172" s="35">
        <v>0.713098729227761</v>
      </c>
      <c r="N172" s="45"/>
      <c r="O172" s="45"/>
      <c r="P172" s="45"/>
      <c r="Q172" s="45"/>
      <c r="R172" s="45" t="s">
        <v>52</v>
      </c>
      <c r="S172" s="37"/>
      <c r="T172" s="37"/>
      <c r="U172" s="37"/>
    </row>
    <row r="173" ht="124" hidden="1" spans="1:21">
      <c r="A173" s="79" t="s">
        <v>280</v>
      </c>
      <c r="B173" s="79" t="s">
        <v>30</v>
      </c>
      <c r="C173" s="79" t="s">
        <v>385</v>
      </c>
      <c r="D173" s="79" t="s">
        <v>32</v>
      </c>
      <c r="E173" s="79" t="s">
        <v>247</v>
      </c>
      <c r="F173" s="79" t="s">
        <v>324</v>
      </c>
      <c r="G173" s="35">
        <f t="shared" si="11"/>
        <v>0.619047619047619</v>
      </c>
      <c r="H173" s="79" t="s">
        <v>386</v>
      </c>
      <c r="I173" s="79" t="s">
        <v>387</v>
      </c>
      <c r="J173" s="118">
        <v>50.24</v>
      </c>
      <c r="K173" s="102">
        <v>8.62</v>
      </c>
      <c r="L173" s="79" t="s">
        <v>44</v>
      </c>
      <c r="M173" s="35">
        <v>0.853550798504927</v>
      </c>
      <c r="N173" s="45"/>
      <c r="O173" s="45"/>
      <c r="P173" s="45"/>
      <c r="Q173" s="45"/>
      <c r="R173" s="45" t="s">
        <v>38</v>
      </c>
      <c r="S173" s="37"/>
      <c r="T173" s="37"/>
      <c r="U173" s="37"/>
    </row>
    <row r="174" ht="92.5" hidden="1" spans="1:21">
      <c r="A174" s="79" t="s">
        <v>280</v>
      </c>
      <c r="B174" s="79" t="s">
        <v>30</v>
      </c>
      <c r="C174" s="79" t="s">
        <v>388</v>
      </c>
      <c r="D174" s="79" t="s">
        <v>32</v>
      </c>
      <c r="E174" s="79" t="s">
        <v>389</v>
      </c>
      <c r="F174" s="79" t="s">
        <v>204</v>
      </c>
      <c r="G174" s="35">
        <f t="shared" si="11"/>
        <v>0.777777777777778</v>
      </c>
      <c r="H174" s="79" t="s">
        <v>390</v>
      </c>
      <c r="I174" s="79" t="s">
        <v>391</v>
      </c>
      <c r="J174" s="118">
        <v>21.18</v>
      </c>
      <c r="K174" s="102">
        <v>4.56</v>
      </c>
      <c r="L174" s="79" t="s">
        <v>327</v>
      </c>
      <c r="M174" s="35">
        <v>0.822843822843823</v>
      </c>
      <c r="N174" s="45"/>
      <c r="O174" s="45"/>
      <c r="P174" s="45"/>
      <c r="Q174" s="45"/>
      <c r="R174" s="45" t="s">
        <v>52</v>
      </c>
      <c r="S174" s="37"/>
      <c r="T174" s="37"/>
      <c r="U174" s="37"/>
    </row>
    <row r="175" ht="139.5" hidden="1" spans="1:21">
      <c r="A175" s="79" t="s">
        <v>280</v>
      </c>
      <c r="B175" s="79" t="s">
        <v>30</v>
      </c>
      <c r="C175" s="79" t="s">
        <v>392</v>
      </c>
      <c r="D175" s="79" t="s">
        <v>32</v>
      </c>
      <c r="E175" s="79" t="s">
        <v>324</v>
      </c>
      <c r="F175" s="79" t="s">
        <v>282</v>
      </c>
      <c r="G175" s="35">
        <f t="shared" si="11"/>
        <v>0.307692307692308</v>
      </c>
      <c r="H175" s="79" t="s">
        <v>393</v>
      </c>
      <c r="I175" s="79" t="s">
        <v>394</v>
      </c>
      <c r="J175" s="118">
        <v>32.44</v>
      </c>
      <c r="K175" s="102">
        <v>8.15000000000001</v>
      </c>
      <c r="L175" s="79" t="s">
        <v>44</v>
      </c>
      <c r="M175" s="35">
        <v>0.799211628479921</v>
      </c>
      <c r="N175" s="45"/>
      <c r="O175" s="45"/>
      <c r="P175" s="45"/>
      <c r="Q175" s="45"/>
      <c r="R175" s="45" t="s">
        <v>52</v>
      </c>
      <c r="S175" s="37"/>
      <c r="T175" s="37"/>
      <c r="U175" s="37"/>
    </row>
    <row r="176" ht="77.5" hidden="1" spans="1:21">
      <c r="A176" s="79" t="s">
        <v>280</v>
      </c>
      <c r="B176" s="79" t="s">
        <v>30</v>
      </c>
      <c r="C176" s="79" t="s">
        <v>395</v>
      </c>
      <c r="D176" s="79" t="s">
        <v>32</v>
      </c>
      <c r="E176" s="79" t="s">
        <v>176</v>
      </c>
      <c r="F176" s="79" t="s">
        <v>293</v>
      </c>
      <c r="G176" s="35">
        <f t="shared" si="11"/>
        <v>0.5</v>
      </c>
      <c r="H176" s="79" t="s">
        <v>396</v>
      </c>
      <c r="I176" s="79" t="s">
        <v>397</v>
      </c>
      <c r="J176" s="118">
        <v>24.13</v>
      </c>
      <c r="K176" s="102">
        <v>7.75</v>
      </c>
      <c r="L176" s="79" t="s">
        <v>44</v>
      </c>
      <c r="M176" s="35">
        <v>0.756900878293601</v>
      </c>
      <c r="N176" s="45"/>
      <c r="O176" s="45"/>
      <c r="P176" s="45"/>
      <c r="Q176" s="45"/>
      <c r="R176" s="45" t="s">
        <v>52</v>
      </c>
      <c r="S176" s="37"/>
      <c r="T176" s="37"/>
      <c r="U176" s="37"/>
    </row>
    <row r="177" ht="341" hidden="1" spans="1:21">
      <c r="A177" s="79" t="s">
        <v>280</v>
      </c>
      <c r="B177" s="79" t="s">
        <v>30</v>
      </c>
      <c r="C177" s="79" t="s">
        <v>398</v>
      </c>
      <c r="D177" s="79" t="s">
        <v>32</v>
      </c>
      <c r="E177" s="79" t="s">
        <v>399</v>
      </c>
      <c r="F177" s="79" t="s">
        <v>193</v>
      </c>
      <c r="G177" s="35">
        <f t="shared" si="11"/>
        <v>0.5</v>
      </c>
      <c r="H177" s="80" t="s">
        <v>400</v>
      </c>
      <c r="I177" s="79" t="s">
        <v>401</v>
      </c>
      <c r="J177" s="118">
        <v>62.11</v>
      </c>
      <c r="K177" s="102">
        <v>2.64</v>
      </c>
      <c r="L177" s="79" t="s">
        <v>44</v>
      </c>
      <c r="M177" s="35">
        <v>0.959227799227799</v>
      </c>
      <c r="N177" s="45"/>
      <c r="O177" s="45"/>
      <c r="P177" s="45"/>
      <c r="Q177" s="45"/>
      <c r="R177" s="45" t="s">
        <v>38</v>
      </c>
      <c r="S177" s="37"/>
      <c r="T177" s="37"/>
      <c r="U177" s="37"/>
    </row>
    <row r="178" ht="263.5" hidden="1" spans="1:21">
      <c r="A178" s="79" t="s">
        <v>280</v>
      </c>
      <c r="B178" s="79" t="s">
        <v>30</v>
      </c>
      <c r="C178" s="79" t="s">
        <v>402</v>
      </c>
      <c r="D178" s="79" t="s">
        <v>32</v>
      </c>
      <c r="E178" s="79" t="s">
        <v>193</v>
      </c>
      <c r="F178" s="79" t="s">
        <v>282</v>
      </c>
      <c r="G178" s="35">
        <f t="shared" si="11"/>
        <v>0.2</v>
      </c>
      <c r="H178" s="79" t="s">
        <v>403</v>
      </c>
      <c r="I178" s="79" t="s">
        <v>404</v>
      </c>
      <c r="J178" s="118">
        <v>39.69</v>
      </c>
      <c r="K178" s="102">
        <v>12.42</v>
      </c>
      <c r="L178" s="79" t="s">
        <v>44</v>
      </c>
      <c r="M178" s="35">
        <v>0.761658031088083</v>
      </c>
      <c r="N178" s="45"/>
      <c r="O178" s="45"/>
      <c r="P178" s="45"/>
      <c r="Q178" s="45"/>
      <c r="R178" s="45" t="s">
        <v>52</v>
      </c>
      <c r="S178" s="37"/>
      <c r="T178" s="37"/>
      <c r="U178" s="37"/>
    </row>
    <row r="179" ht="30.5" hidden="1" spans="1:21">
      <c r="A179" s="79" t="s">
        <v>280</v>
      </c>
      <c r="B179" s="79" t="s">
        <v>23</v>
      </c>
      <c r="C179" s="80" t="s">
        <v>405</v>
      </c>
      <c r="D179" s="79" t="s">
        <v>32</v>
      </c>
      <c r="E179" s="79" t="s">
        <v>204</v>
      </c>
      <c r="F179" s="79" t="s">
        <v>189</v>
      </c>
      <c r="G179" s="35">
        <f t="shared" si="11"/>
        <v>0.857142857142857</v>
      </c>
      <c r="H179" s="79" t="s">
        <v>406</v>
      </c>
      <c r="I179" s="79" t="s">
        <v>407</v>
      </c>
      <c r="J179" s="118">
        <v>21.13</v>
      </c>
      <c r="K179" s="102">
        <v>2.03</v>
      </c>
      <c r="L179" s="79" t="s">
        <v>37</v>
      </c>
      <c r="M179" s="35">
        <v>0.912348877374784</v>
      </c>
      <c r="N179" s="45"/>
      <c r="O179" s="45"/>
      <c r="P179" s="45"/>
      <c r="Q179" s="45"/>
      <c r="R179" s="45" t="s">
        <v>52</v>
      </c>
      <c r="S179" s="37"/>
      <c r="T179" s="37"/>
      <c r="U179" s="37"/>
    </row>
    <row r="180" ht="62" hidden="1" spans="1:21">
      <c r="A180" s="79" t="s">
        <v>280</v>
      </c>
      <c r="B180" s="79" t="s">
        <v>30</v>
      </c>
      <c r="C180" s="79" t="s">
        <v>408</v>
      </c>
      <c r="D180" s="79" t="s">
        <v>32</v>
      </c>
      <c r="E180" s="79" t="s">
        <v>409</v>
      </c>
      <c r="F180" s="79" t="s">
        <v>226</v>
      </c>
      <c r="G180" s="35">
        <f t="shared" si="11"/>
        <v>0.884615384615385</v>
      </c>
      <c r="H180" s="79" t="s">
        <v>410</v>
      </c>
      <c r="I180" s="79" t="s">
        <v>411</v>
      </c>
      <c r="J180" s="118">
        <v>37.66</v>
      </c>
      <c r="K180" s="102">
        <v>12.33</v>
      </c>
      <c r="L180" s="79" t="s">
        <v>37</v>
      </c>
      <c r="M180" s="35">
        <v>0.753350670134027</v>
      </c>
      <c r="N180" s="45"/>
      <c r="O180" s="45"/>
      <c r="P180" s="45"/>
      <c r="Q180" s="45"/>
      <c r="R180" s="45" t="s">
        <v>38</v>
      </c>
      <c r="S180" s="37"/>
      <c r="T180" s="37"/>
      <c r="U180" s="37"/>
    </row>
    <row r="181" ht="77.5" hidden="1" spans="1:21">
      <c r="A181" s="79" t="s">
        <v>280</v>
      </c>
      <c r="B181" s="79" t="s">
        <v>158</v>
      </c>
      <c r="C181" s="79" t="s">
        <v>412</v>
      </c>
      <c r="D181" s="79" t="s">
        <v>32</v>
      </c>
      <c r="E181" s="79" t="s">
        <v>179</v>
      </c>
      <c r="F181" s="79" t="s">
        <v>218</v>
      </c>
      <c r="G181" s="35">
        <f t="shared" si="11"/>
        <v>0.375</v>
      </c>
      <c r="H181" s="79" t="s">
        <v>413</v>
      </c>
      <c r="I181" s="79" t="s">
        <v>414</v>
      </c>
      <c r="J181" s="118">
        <v>18.37</v>
      </c>
      <c r="K181" s="102">
        <v>1.97</v>
      </c>
      <c r="L181" s="79" t="s">
        <v>44</v>
      </c>
      <c r="M181" s="35">
        <v>0.9031465093412</v>
      </c>
      <c r="N181" s="45"/>
      <c r="O181" s="45"/>
      <c r="P181" s="45"/>
      <c r="Q181" s="45"/>
      <c r="R181" s="45" t="s">
        <v>52</v>
      </c>
      <c r="S181" s="37"/>
      <c r="T181" s="37"/>
      <c r="U181" s="37"/>
    </row>
    <row r="182" ht="232.5" hidden="1" spans="1:21">
      <c r="A182" s="79" t="s">
        <v>280</v>
      </c>
      <c r="B182" s="79" t="s">
        <v>23</v>
      </c>
      <c r="C182" s="79" t="s">
        <v>415</v>
      </c>
      <c r="D182" s="79" t="s">
        <v>32</v>
      </c>
      <c r="E182" s="79" t="s">
        <v>416</v>
      </c>
      <c r="F182" s="79" t="s">
        <v>417</v>
      </c>
      <c r="G182" s="35">
        <f t="shared" si="11"/>
        <v>0.607142857142857</v>
      </c>
      <c r="H182" s="79" t="s">
        <v>418</v>
      </c>
      <c r="I182" s="79" t="s">
        <v>419</v>
      </c>
      <c r="J182" s="118">
        <v>43.59</v>
      </c>
      <c r="K182" s="102">
        <v>10.89</v>
      </c>
      <c r="L182" s="79" t="s">
        <v>44</v>
      </c>
      <c r="M182" s="35">
        <v>0.80011013215859</v>
      </c>
      <c r="N182" s="45"/>
      <c r="O182" s="45"/>
      <c r="P182" s="45"/>
      <c r="Q182" s="45"/>
      <c r="R182" s="45" t="s">
        <v>38</v>
      </c>
      <c r="S182" s="37"/>
      <c r="T182" s="37"/>
      <c r="U182" s="37"/>
    </row>
    <row r="183" ht="75" hidden="1" spans="1:18">
      <c r="A183" s="56" t="s">
        <v>420</v>
      </c>
      <c r="B183" s="99" t="s">
        <v>30</v>
      </c>
      <c r="C183" s="56" t="s">
        <v>421</v>
      </c>
      <c r="D183" s="56" t="s">
        <v>25</v>
      </c>
      <c r="E183" s="99" t="s">
        <v>204</v>
      </c>
      <c r="F183" s="99" t="s">
        <v>317</v>
      </c>
      <c r="G183" s="112">
        <f t="shared" ref="G183:G201" si="12">F183/E183</f>
        <v>0.285714285714286</v>
      </c>
      <c r="H183" s="56" t="s">
        <v>422</v>
      </c>
      <c r="I183" s="99"/>
      <c r="J183" s="119">
        <v>9.695911</v>
      </c>
      <c r="K183" s="99">
        <v>0</v>
      </c>
      <c r="L183" s="99"/>
      <c r="M183" s="101">
        <v>1</v>
      </c>
      <c r="N183" s="120"/>
      <c r="O183" s="120"/>
      <c r="P183" s="120"/>
      <c r="Q183" s="120"/>
      <c r="R183" s="124" t="s">
        <v>52</v>
      </c>
    </row>
    <row r="184" ht="75" hidden="1" spans="1:18">
      <c r="A184" s="56" t="s">
        <v>420</v>
      </c>
      <c r="B184" s="99" t="s">
        <v>30</v>
      </c>
      <c r="C184" s="56" t="s">
        <v>423</v>
      </c>
      <c r="D184" s="56" t="s">
        <v>25</v>
      </c>
      <c r="E184" s="99" t="s">
        <v>226</v>
      </c>
      <c r="F184" s="99" t="s">
        <v>307</v>
      </c>
      <c r="G184" s="112">
        <f t="shared" si="12"/>
        <v>0.782608695652174</v>
      </c>
      <c r="H184" s="56" t="s">
        <v>424</v>
      </c>
      <c r="I184" s="99"/>
      <c r="J184" s="119">
        <v>33.873817</v>
      </c>
      <c r="K184" s="99">
        <v>0</v>
      </c>
      <c r="L184" s="99"/>
      <c r="M184" s="101">
        <v>1</v>
      </c>
      <c r="N184" s="120"/>
      <c r="O184" s="120"/>
      <c r="P184" s="120"/>
      <c r="Q184" s="120"/>
      <c r="R184" s="124" t="s">
        <v>38</v>
      </c>
    </row>
    <row r="185" ht="60" hidden="1" spans="1:18">
      <c r="A185" s="56" t="s">
        <v>420</v>
      </c>
      <c r="B185" s="99" t="s">
        <v>30</v>
      </c>
      <c r="C185" s="56" t="s">
        <v>425</v>
      </c>
      <c r="D185" s="56" t="s">
        <v>25</v>
      </c>
      <c r="E185" s="99" t="s">
        <v>417</v>
      </c>
      <c r="F185" s="99" t="s">
        <v>324</v>
      </c>
      <c r="G185" s="112">
        <f t="shared" si="12"/>
        <v>0.764705882352941</v>
      </c>
      <c r="H185" s="56" t="s">
        <v>426</v>
      </c>
      <c r="I185" s="121"/>
      <c r="J185" s="119">
        <v>45.652298</v>
      </c>
      <c r="K185" s="99">
        <v>0</v>
      </c>
      <c r="L185" s="56"/>
      <c r="M185" s="101">
        <v>1</v>
      </c>
      <c r="N185" s="120"/>
      <c r="O185" s="120"/>
      <c r="P185" s="120"/>
      <c r="Q185" s="120"/>
      <c r="R185" s="124" t="s">
        <v>38</v>
      </c>
    </row>
    <row r="186" ht="60" hidden="1" spans="1:18">
      <c r="A186" s="56" t="s">
        <v>420</v>
      </c>
      <c r="B186" s="99" t="s">
        <v>158</v>
      </c>
      <c r="C186" s="56" t="s">
        <v>427</v>
      </c>
      <c r="D186" s="56" t="s">
        <v>25</v>
      </c>
      <c r="E186" s="99" t="s">
        <v>193</v>
      </c>
      <c r="F186" s="99" t="s">
        <v>222</v>
      </c>
      <c r="G186" s="112">
        <f t="shared" si="12"/>
        <v>0.8</v>
      </c>
      <c r="H186" s="56" t="s">
        <v>428</v>
      </c>
      <c r="I186" s="99"/>
      <c r="J186" s="119">
        <v>21.968794</v>
      </c>
      <c r="K186" s="99">
        <v>0</v>
      </c>
      <c r="L186" s="99"/>
      <c r="M186" s="101">
        <v>1</v>
      </c>
      <c r="N186" s="120"/>
      <c r="O186" s="120"/>
      <c r="P186" s="120"/>
      <c r="Q186" s="120"/>
      <c r="R186" s="124" t="s">
        <v>38</v>
      </c>
    </row>
    <row r="187" ht="150" hidden="1" spans="1:18">
      <c r="A187" s="56" t="s">
        <v>420</v>
      </c>
      <c r="B187" s="99" t="s">
        <v>30</v>
      </c>
      <c r="C187" s="56" t="s">
        <v>429</v>
      </c>
      <c r="D187" s="56" t="s">
        <v>25</v>
      </c>
      <c r="E187" s="99" t="s">
        <v>430</v>
      </c>
      <c r="F187" s="99" t="s">
        <v>431</v>
      </c>
      <c r="G187" s="112">
        <f t="shared" si="12"/>
        <v>0.761904761904762</v>
      </c>
      <c r="H187" s="56" t="s">
        <v>432</v>
      </c>
      <c r="I187" s="99"/>
      <c r="J187" s="119">
        <v>143.194005</v>
      </c>
      <c r="K187" s="99">
        <v>0</v>
      </c>
      <c r="L187" s="99"/>
      <c r="M187" s="101">
        <v>1</v>
      </c>
      <c r="N187" s="120"/>
      <c r="O187" s="120"/>
      <c r="P187" s="120"/>
      <c r="Q187" s="120"/>
      <c r="R187" s="124" t="s">
        <v>38</v>
      </c>
    </row>
    <row r="188" ht="45" hidden="1" spans="1:18">
      <c r="A188" s="56" t="s">
        <v>420</v>
      </c>
      <c r="B188" s="99" t="s">
        <v>30</v>
      </c>
      <c r="C188" s="56" t="s">
        <v>433</v>
      </c>
      <c r="D188" s="56" t="s">
        <v>25</v>
      </c>
      <c r="E188" s="99" t="s">
        <v>222</v>
      </c>
      <c r="F188" s="99" t="s">
        <v>324</v>
      </c>
      <c r="G188" s="112">
        <f t="shared" si="12"/>
        <v>0.8125</v>
      </c>
      <c r="H188" s="56" t="s">
        <v>434</v>
      </c>
      <c r="I188" s="99"/>
      <c r="J188" s="119">
        <v>25.635547</v>
      </c>
      <c r="K188" s="99">
        <v>0</v>
      </c>
      <c r="L188" s="99"/>
      <c r="M188" s="101">
        <v>1</v>
      </c>
      <c r="N188" s="120"/>
      <c r="O188" s="120"/>
      <c r="P188" s="120"/>
      <c r="Q188" s="120"/>
      <c r="R188" s="124" t="s">
        <v>38</v>
      </c>
    </row>
    <row r="189" ht="30" hidden="1" spans="1:18">
      <c r="A189" s="56" t="s">
        <v>420</v>
      </c>
      <c r="B189" s="99" t="s">
        <v>30</v>
      </c>
      <c r="C189" s="56" t="s">
        <v>435</v>
      </c>
      <c r="D189" s="56" t="s">
        <v>25</v>
      </c>
      <c r="E189" s="99" t="s">
        <v>317</v>
      </c>
      <c r="F189" s="99" t="s">
        <v>317</v>
      </c>
      <c r="G189" s="112">
        <f t="shared" si="12"/>
        <v>1</v>
      </c>
      <c r="H189" s="99" t="s">
        <v>436</v>
      </c>
      <c r="I189" s="99"/>
      <c r="J189" s="119">
        <v>3.177249</v>
      </c>
      <c r="K189" s="99">
        <v>0</v>
      </c>
      <c r="L189" s="99"/>
      <c r="M189" s="101">
        <v>1</v>
      </c>
      <c r="N189" s="120"/>
      <c r="O189" s="120"/>
      <c r="P189" s="120"/>
      <c r="Q189" s="120"/>
      <c r="R189" s="124" t="s">
        <v>38</v>
      </c>
    </row>
    <row r="190" ht="30" hidden="1" spans="1:18">
      <c r="A190" s="56" t="s">
        <v>420</v>
      </c>
      <c r="B190" s="99" t="s">
        <v>158</v>
      </c>
      <c r="C190" s="56" t="s">
        <v>437</v>
      </c>
      <c r="D190" s="56" t="s">
        <v>25</v>
      </c>
      <c r="E190" s="99" t="s">
        <v>218</v>
      </c>
      <c r="F190" s="99">
        <v>2</v>
      </c>
      <c r="G190" s="112">
        <f t="shared" si="12"/>
        <v>0.666666666666667</v>
      </c>
      <c r="H190" s="113" t="s">
        <v>438</v>
      </c>
      <c r="I190" s="122"/>
      <c r="J190" s="119">
        <v>8.646</v>
      </c>
      <c r="K190" s="99">
        <v>0</v>
      </c>
      <c r="L190" s="56"/>
      <c r="M190" s="101">
        <v>1</v>
      </c>
      <c r="N190" s="120"/>
      <c r="O190" s="120"/>
      <c r="P190" s="120"/>
      <c r="Q190" s="120"/>
      <c r="R190" s="124" t="s">
        <v>52</v>
      </c>
    </row>
    <row r="191" ht="120" hidden="1" spans="1:18">
      <c r="A191" s="56" t="s">
        <v>420</v>
      </c>
      <c r="B191" s="99" t="s">
        <v>30</v>
      </c>
      <c r="C191" s="56" t="s">
        <v>439</v>
      </c>
      <c r="D191" s="56" t="s">
        <v>25</v>
      </c>
      <c r="E191" s="99" t="s">
        <v>222</v>
      </c>
      <c r="F191" s="99">
        <v>9</v>
      </c>
      <c r="G191" s="112">
        <f t="shared" si="12"/>
        <v>0.5625</v>
      </c>
      <c r="H191" s="56" t="s">
        <v>440</v>
      </c>
      <c r="I191" s="99"/>
      <c r="J191" s="119">
        <v>20.760732</v>
      </c>
      <c r="K191" s="99">
        <v>0</v>
      </c>
      <c r="L191" s="99"/>
      <c r="M191" s="101">
        <v>1</v>
      </c>
      <c r="N191" s="120"/>
      <c r="O191" s="120"/>
      <c r="P191" s="120"/>
      <c r="Q191" s="120"/>
      <c r="R191" s="124" t="s">
        <v>38</v>
      </c>
    </row>
    <row r="192" ht="165" hidden="1" spans="1:18">
      <c r="A192" s="56" t="s">
        <v>420</v>
      </c>
      <c r="B192" s="99" t="s">
        <v>30</v>
      </c>
      <c r="C192" s="56" t="s">
        <v>441</v>
      </c>
      <c r="D192" s="56" t="s">
        <v>25</v>
      </c>
      <c r="E192" s="99" t="s">
        <v>222</v>
      </c>
      <c r="F192" s="99" t="s">
        <v>293</v>
      </c>
      <c r="G192" s="112">
        <f t="shared" si="12"/>
        <v>0.3125</v>
      </c>
      <c r="H192" s="114" t="s">
        <v>442</v>
      </c>
      <c r="I192" s="122"/>
      <c r="J192" s="119">
        <v>17.841802</v>
      </c>
      <c r="K192" s="99">
        <v>0</v>
      </c>
      <c r="L192" s="99"/>
      <c r="M192" s="101">
        <v>1</v>
      </c>
      <c r="N192" s="120"/>
      <c r="O192" s="120"/>
      <c r="P192" s="120"/>
      <c r="Q192" s="120"/>
      <c r="R192" s="124" t="s">
        <v>52</v>
      </c>
    </row>
    <row r="193" ht="195" hidden="1" spans="1:18">
      <c r="A193" s="56" t="s">
        <v>420</v>
      </c>
      <c r="B193" s="99" t="s">
        <v>30</v>
      </c>
      <c r="C193" s="56" t="s">
        <v>443</v>
      </c>
      <c r="D193" s="56" t="s">
        <v>25</v>
      </c>
      <c r="E193" s="99" t="s">
        <v>230</v>
      </c>
      <c r="F193" s="99" t="s">
        <v>222</v>
      </c>
      <c r="G193" s="112">
        <f t="shared" si="12"/>
        <v>0.470588235294118</v>
      </c>
      <c r="H193" s="114" t="s">
        <v>444</v>
      </c>
      <c r="I193" s="122"/>
      <c r="J193" s="119">
        <v>43.777431</v>
      </c>
      <c r="K193" s="99">
        <v>0</v>
      </c>
      <c r="L193" s="56"/>
      <c r="M193" s="101">
        <v>1</v>
      </c>
      <c r="N193" s="120"/>
      <c r="O193" s="120"/>
      <c r="P193" s="120"/>
      <c r="Q193" s="120"/>
      <c r="R193" s="124" t="s">
        <v>38</v>
      </c>
    </row>
    <row r="194" ht="45" hidden="1" spans="1:18">
      <c r="A194" s="56" t="s">
        <v>420</v>
      </c>
      <c r="B194" s="99" t="s">
        <v>30</v>
      </c>
      <c r="C194" s="56" t="s">
        <v>445</v>
      </c>
      <c r="D194" s="56" t="s">
        <v>25</v>
      </c>
      <c r="E194" s="99" t="s">
        <v>179</v>
      </c>
      <c r="F194" s="99" t="s">
        <v>293</v>
      </c>
      <c r="G194" s="112">
        <f t="shared" si="12"/>
        <v>0.625</v>
      </c>
      <c r="H194" s="56" t="s">
        <v>446</v>
      </c>
      <c r="I194" s="99"/>
      <c r="J194" s="119">
        <v>8.449398</v>
      </c>
      <c r="K194" s="99">
        <v>0</v>
      </c>
      <c r="L194" s="99"/>
      <c r="M194" s="101">
        <v>1</v>
      </c>
      <c r="N194" s="120"/>
      <c r="O194" s="120"/>
      <c r="P194" s="120"/>
      <c r="Q194" s="120"/>
      <c r="R194" s="124" t="s">
        <v>38</v>
      </c>
    </row>
    <row r="195" ht="105" hidden="1" spans="1:18">
      <c r="A195" s="56" t="s">
        <v>420</v>
      </c>
      <c r="B195" s="99" t="s">
        <v>158</v>
      </c>
      <c r="C195" s="56" t="s">
        <v>447</v>
      </c>
      <c r="D195" s="56" t="s">
        <v>25</v>
      </c>
      <c r="E195" s="99" t="s">
        <v>179</v>
      </c>
      <c r="F195" s="99" t="s">
        <v>311</v>
      </c>
      <c r="G195" s="112">
        <f t="shared" si="12"/>
        <v>0.125</v>
      </c>
      <c r="H195" s="56" t="s">
        <v>448</v>
      </c>
      <c r="I195" s="99"/>
      <c r="J195" s="119">
        <v>6.720967</v>
      </c>
      <c r="K195" s="99">
        <v>0</v>
      </c>
      <c r="L195" s="99"/>
      <c r="M195" s="101">
        <v>1</v>
      </c>
      <c r="N195" s="120"/>
      <c r="O195" s="120"/>
      <c r="P195" s="120"/>
      <c r="Q195" s="120"/>
      <c r="R195" s="124" t="s">
        <v>52</v>
      </c>
    </row>
    <row r="196" ht="30" hidden="1" spans="1:18">
      <c r="A196" s="56" t="s">
        <v>420</v>
      </c>
      <c r="B196" s="99" t="s">
        <v>158</v>
      </c>
      <c r="C196" s="56" t="s">
        <v>449</v>
      </c>
      <c r="D196" s="56" t="s">
        <v>25</v>
      </c>
      <c r="E196" s="99" t="s">
        <v>293</v>
      </c>
      <c r="F196" s="99" t="s">
        <v>218</v>
      </c>
      <c r="G196" s="112">
        <f t="shared" si="12"/>
        <v>0.6</v>
      </c>
      <c r="H196" s="56" t="s">
        <v>450</v>
      </c>
      <c r="I196" s="99"/>
      <c r="J196" s="119">
        <v>3.597651</v>
      </c>
      <c r="K196" s="99">
        <v>0</v>
      </c>
      <c r="L196" s="99"/>
      <c r="M196" s="101">
        <v>1</v>
      </c>
      <c r="N196" s="120"/>
      <c r="O196" s="120"/>
      <c r="P196" s="120"/>
      <c r="Q196" s="120"/>
      <c r="R196" s="124" t="s">
        <v>52</v>
      </c>
    </row>
    <row r="197" ht="30" hidden="1" spans="1:18">
      <c r="A197" s="56" t="s">
        <v>420</v>
      </c>
      <c r="B197" s="99" t="s">
        <v>30</v>
      </c>
      <c r="C197" s="56" t="s">
        <v>451</v>
      </c>
      <c r="D197" s="56" t="s">
        <v>25</v>
      </c>
      <c r="E197" s="99" t="s">
        <v>360</v>
      </c>
      <c r="F197" s="99" t="s">
        <v>200</v>
      </c>
      <c r="G197" s="112">
        <f t="shared" si="12"/>
        <v>0.857142857142857</v>
      </c>
      <c r="H197" s="56" t="s">
        <v>452</v>
      </c>
      <c r="I197" s="99"/>
      <c r="J197" s="119">
        <v>22.600366</v>
      </c>
      <c r="K197" s="99">
        <v>0</v>
      </c>
      <c r="L197" s="99"/>
      <c r="M197" s="101">
        <v>1</v>
      </c>
      <c r="N197" s="120"/>
      <c r="O197" s="120"/>
      <c r="P197" s="120"/>
      <c r="Q197" s="120"/>
      <c r="R197" s="124" t="s">
        <v>453</v>
      </c>
    </row>
    <row r="198" ht="60" hidden="1" spans="1:18">
      <c r="A198" s="56" t="s">
        <v>420</v>
      </c>
      <c r="B198" s="99" t="s">
        <v>30</v>
      </c>
      <c r="C198" s="56" t="s">
        <v>454</v>
      </c>
      <c r="D198" s="56" t="s">
        <v>25</v>
      </c>
      <c r="E198" s="99" t="s">
        <v>176</v>
      </c>
      <c r="F198" s="99">
        <v>7</v>
      </c>
      <c r="G198" s="112">
        <f t="shared" si="12"/>
        <v>0.7</v>
      </c>
      <c r="H198" s="56" t="s">
        <v>455</v>
      </c>
      <c r="I198" s="99"/>
      <c r="J198" s="119">
        <v>9.712086</v>
      </c>
      <c r="K198" s="99">
        <v>0</v>
      </c>
      <c r="L198" s="99"/>
      <c r="M198" s="101">
        <v>1</v>
      </c>
      <c r="N198" s="120"/>
      <c r="O198" s="120"/>
      <c r="P198" s="120"/>
      <c r="Q198" s="120"/>
      <c r="R198" s="124" t="s">
        <v>52</v>
      </c>
    </row>
    <row r="199" ht="225" hidden="1" spans="1:18">
      <c r="A199" s="56" t="s">
        <v>420</v>
      </c>
      <c r="B199" s="99" t="s">
        <v>30</v>
      </c>
      <c r="C199" s="56" t="s">
        <v>456</v>
      </c>
      <c r="D199" s="56" t="s">
        <v>25</v>
      </c>
      <c r="E199" s="99" t="s">
        <v>457</v>
      </c>
      <c r="F199" s="99">
        <v>19</v>
      </c>
      <c r="G199" s="112">
        <f t="shared" si="12"/>
        <v>0.527777777777778</v>
      </c>
      <c r="H199" s="114" t="s">
        <v>458</v>
      </c>
      <c r="I199" s="122"/>
      <c r="J199" s="119">
        <v>61.704031</v>
      </c>
      <c r="K199" s="99">
        <v>0</v>
      </c>
      <c r="L199" s="56"/>
      <c r="M199" s="101">
        <v>1</v>
      </c>
      <c r="N199" s="120"/>
      <c r="O199" s="120"/>
      <c r="P199" s="120"/>
      <c r="Q199" s="120"/>
      <c r="R199" s="124" t="s">
        <v>453</v>
      </c>
    </row>
    <row r="200" ht="30" hidden="1" spans="1:18">
      <c r="A200" s="56" t="s">
        <v>420</v>
      </c>
      <c r="B200" s="99" t="s">
        <v>158</v>
      </c>
      <c r="C200" s="56" t="s">
        <v>459</v>
      </c>
      <c r="D200" s="56" t="s">
        <v>25</v>
      </c>
      <c r="E200" s="99" t="s">
        <v>293</v>
      </c>
      <c r="F200" s="99" t="s">
        <v>218</v>
      </c>
      <c r="G200" s="112">
        <f t="shared" si="12"/>
        <v>0.6</v>
      </c>
      <c r="H200" s="56" t="s">
        <v>460</v>
      </c>
      <c r="I200" s="99"/>
      <c r="J200" s="119">
        <v>4.667612</v>
      </c>
      <c r="K200" s="99">
        <v>0</v>
      </c>
      <c r="L200" s="99"/>
      <c r="M200" s="101">
        <v>1</v>
      </c>
      <c r="N200" s="120"/>
      <c r="O200" s="120"/>
      <c r="P200" s="120"/>
      <c r="Q200" s="120"/>
      <c r="R200" s="124" t="s">
        <v>38</v>
      </c>
    </row>
    <row r="201" hidden="1" spans="1:18">
      <c r="A201" s="125" t="s">
        <v>420</v>
      </c>
      <c r="B201" s="126" t="s">
        <v>30</v>
      </c>
      <c r="C201" s="127" t="s">
        <v>461</v>
      </c>
      <c r="D201" s="127" t="s">
        <v>32</v>
      </c>
      <c r="E201" s="127" t="s">
        <v>417</v>
      </c>
      <c r="F201" s="127" t="s">
        <v>185</v>
      </c>
      <c r="G201" s="128">
        <v>0.647058823529412</v>
      </c>
      <c r="H201" s="127" t="s">
        <v>462</v>
      </c>
      <c r="I201" s="127" t="s">
        <v>463</v>
      </c>
      <c r="J201" s="139">
        <v>23.904991</v>
      </c>
      <c r="K201" s="127">
        <v>13.7</v>
      </c>
      <c r="L201" s="127" t="s">
        <v>381</v>
      </c>
      <c r="M201" s="140">
        <v>0.635686656593004</v>
      </c>
      <c r="N201" s="141" t="s">
        <v>464</v>
      </c>
      <c r="O201" s="142">
        <v>3.44548</v>
      </c>
      <c r="P201" s="143">
        <v>84</v>
      </c>
      <c r="Q201" s="120" t="s">
        <v>37</v>
      </c>
      <c r="R201" s="153" t="s">
        <v>38</v>
      </c>
    </row>
    <row r="202" hidden="1" spans="1:18">
      <c r="A202" s="129"/>
      <c r="B202" s="130"/>
      <c r="C202" s="131"/>
      <c r="D202" s="131"/>
      <c r="E202" s="131"/>
      <c r="F202" s="131"/>
      <c r="G202" s="132"/>
      <c r="H202" s="131"/>
      <c r="I202" s="131"/>
      <c r="J202" s="144"/>
      <c r="K202" s="131"/>
      <c r="L202" s="131"/>
      <c r="M202" s="145"/>
      <c r="N202" s="141" t="s">
        <v>465</v>
      </c>
      <c r="O202" s="142">
        <v>4.579183</v>
      </c>
      <c r="P202" s="143">
        <v>80</v>
      </c>
      <c r="Q202" s="120" t="s">
        <v>37</v>
      </c>
      <c r="R202" s="154"/>
    </row>
    <row r="203" hidden="1" spans="1:18">
      <c r="A203" s="129"/>
      <c r="B203" s="130"/>
      <c r="C203" s="131"/>
      <c r="D203" s="131"/>
      <c r="E203" s="131"/>
      <c r="F203" s="131"/>
      <c r="G203" s="132"/>
      <c r="H203" s="131"/>
      <c r="I203" s="131"/>
      <c r="J203" s="144"/>
      <c r="K203" s="131"/>
      <c r="L203" s="131"/>
      <c r="M203" s="145"/>
      <c r="N203" s="141" t="s">
        <v>466</v>
      </c>
      <c r="O203" s="142">
        <v>4.23271</v>
      </c>
      <c r="P203" s="143">
        <v>92</v>
      </c>
      <c r="Q203" s="120" t="s">
        <v>37</v>
      </c>
      <c r="R203" s="154"/>
    </row>
    <row r="204" hidden="1" spans="1:18">
      <c r="A204" s="129"/>
      <c r="B204" s="130"/>
      <c r="C204" s="131"/>
      <c r="D204" s="131"/>
      <c r="E204" s="131"/>
      <c r="F204" s="131"/>
      <c r="G204" s="132"/>
      <c r="H204" s="131"/>
      <c r="I204" s="131"/>
      <c r="J204" s="144"/>
      <c r="K204" s="131"/>
      <c r="L204" s="131"/>
      <c r="M204" s="145"/>
      <c r="N204" s="141" t="s">
        <v>467</v>
      </c>
      <c r="O204" s="142">
        <v>0.734953</v>
      </c>
      <c r="P204" s="143">
        <v>41</v>
      </c>
      <c r="Q204" s="120" t="s">
        <v>37</v>
      </c>
      <c r="R204" s="154"/>
    </row>
    <row r="205" hidden="1" spans="1:18">
      <c r="A205" s="133"/>
      <c r="B205" s="134"/>
      <c r="C205" s="135"/>
      <c r="D205" s="135"/>
      <c r="E205" s="135"/>
      <c r="F205" s="135"/>
      <c r="G205" s="136"/>
      <c r="H205" s="135"/>
      <c r="I205" s="135"/>
      <c r="J205" s="146"/>
      <c r="K205" s="135"/>
      <c r="L205" s="135"/>
      <c r="M205" s="147"/>
      <c r="N205" s="141" t="s">
        <v>468</v>
      </c>
      <c r="O205" s="142">
        <v>0.730041</v>
      </c>
      <c r="P205" s="143">
        <v>1</v>
      </c>
      <c r="Q205" s="120" t="s">
        <v>44</v>
      </c>
      <c r="R205" s="155"/>
    </row>
    <row r="206" hidden="1" spans="1:18">
      <c r="A206" s="56" t="s">
        <v>420</v>
      </c>
      <c r="B206" s="56" t="s">
        <v>30</v>
      </c>
      <c r="C206" s="56" t="s">
        <v>469</v>
      </c>
      <c r="D206" s="56" t="s">
        <v>32</v>
      </c>
      <c r="E206" s="56" t="s">
        <v>470</v>
      </c>
      <c r="F206" s="56">
        <v>20</v>
      </c>
      <c r="G206" s="137">
        <v>0.667</v>
      </c>
      <c r="H206" s="56" t="s">
        <v>471</v>
      </c>
      <c r="I206" s="56" t="s">
        <v>472</v>
      </c>
      <c r="J206" s="148">
        <v>69</v>
      </c>
      <c r="K206" s="56">
        <v>4.4</v>
      </c>
      <c r="L206" s="56" t="s">
        <v>381</v>
      </c>
      <c r="M206" s="149">
        <v>0.941</v>
      </c>
      <c r="N206" s="141" t="s">
        <v>473</v>
      </c>
      <c r="O206" s="142">
        <v>2.280247</v>
      </c>
      <c r="P206" s="143">
        <v>4</v>
      </c>
      <c r="Q206" s="120" t="s">
        <v>37</v>
      </c>
      <c r="R206" s="56" t="s">
        <v>38</v>
      </c>
    </row>
    <row r="207" hidden="1" spans="1:18">
      <c r="A207" s="56"/>
      <c r="B207" s="56"/>
      <c r="C207" s="56"/>
      <c r="D207" s="56"/>
      <c r="E207" s="56"/>
      <c r="F207" s="56"/>
      <c r="G207" s="56"/>
      <c r="H207" s="56"/>
      <c r="I207" s="56"/>
      <c r="J207" s="148"/>
      <c r="K207" s="56"/>
      <c r="L207" s="56"/>
      <c r="M207" s="149"/>
      <c r="N207" s="141" t="s">
        <v>474</v>
      </c>
      <c r="O207" s="142">
        <v>2.153567</v>
      </c>
      <c r="P207" s="143">
        <v>36</v>
      </c>
      <c r="Q207" s="120" t="s">
        <v>37</v>
      </c>
      <c r="R207" s="56"/>
    </row>
    <row r="208" ht="30" hidden="1" spans="1:18">
      <c r="A208" s="56" t="s">
        <v>420</v>
      </c>
      <c r="B208" s="99" t="s">
        <v>30</v>
      </c>
      <c r="C208" s="56" t="s">
        <v>475</v>
      </c>
      <c r="D208" s="56" t="s">
        <v>25</v>
      </c>
      <c r="E208" s="99" t="s">
        <v>389</v>
      </c>
      <c r="F208" s="99" t="s">
        <v>179</v>
      </c>
      <c r="G208" s="112">
        <f t="shared" ref="G208:G213" si="13">F208/E208</f>
        <v>0.888888888888889</v>
      </c>
      <c r="H208" s="56" t="s">
        <v>476</v>
      </c>
      <c r="I208" s="99"/>
      <c r="J208" s="119">
        <v>28.1196</v>
      </c>
      <c r="K208" s="99">
        <v>0</v>
      </c>
      <c r="L208" s="99"/>
      <c r="M208" s="101">
        <v>1</v>
      </c>
      <c r="N208" s="120"/>
      <c r="O208" s="120"/>
      <c r="P208" s="37"/>
      <c r="Q208" s="120"/>
      <c r="R208" s="124" t="s">
        <v>52</v>
      </c>
    </row>
    <row r="209" ht="90" hidden="1" spans="1:18">
      <c r="A209" s="56" t="s">
        <v>420</v>
      </c>
      <c r="B209" s="99" t="s">
        <v>30</v>
      </c>
      <c r="C209" s="56" t="s">
        <v>477</v>
      </c>
      <c r="D209" s="56" t="s">
        <v>25</v>
      </c>
      <c r="E209" s="99">
        <v>12</v>
      </c>
      <c r="F209" s="99">
        <v>6</v>
      </c>
      <c r="G209" s="112">
        <f t="shared" si="13"/>
        <v>0.5</v>
      </c>
      <c r="H209" s="114" t="s">
        <v>478</v>
      </c>
      <c r="I209" s="122"/>
      <c r="J209" s="119">
        <v>16.324226</v>
      </c>
      <c r="K209" s="99">
        <v>0</v>
      </c>
      <c r="L209" s="56"/>
      <c r="M209" s="101">
        <v>1</v>
      </c>
      <c r="N209" s="120"/>
      <c r="O209" s="120"/>
      <c r="P209" s="37"/>
      <c r="Q209" s="120"/>
      <c r="R209" s="124" t="s">
        <v>38</v>
      </c>
    </row>
    <row r="210" hidden="1" spans="1:18">
      <c r="A210" s="138" t="s">
        <v>420</v>
      </c>
      <c r="B210" s="138" t="s">
        <v>30</v>
      </c>
      <c r="C210" s="138" t="s">
        <v>479</v>
      </c>
      <c r="D210" s="138" t="s">
        <v>32</v>
      </c>
      <c r="E210" s="138" t="s">
        <v>189</v>
      </c>
      <c r="F210" s="138">
        <v>3</v>
      </c>
      <c r="G210" s="137">
        <v>0.5</v>
      </c>
      <c r="H210" s="138" t="s">
        <v>480</v>
      </c>
      <c r="I210" s="138" t="s">
        <v>481</v>
      </c>
      <c r="J210" s="148">
        <v>18.04348</v>
      </c>
      <c r="K210" s="56">
        <v>11</v>
      </c>
      <c r="L210" s="56" t="s">
        <v>381</v>
      </c>
      <c r="M210" s="150">
        <v>0.621257507709131</v>
      </c>
      <c r="N210" s="120" t="s">
        <v>482</v>
      </c>
      <c r="O210" s="142">
        <v>5.968784</v>
      </c>
      <c r="P210" s="143">
        <v>83</v>
      </c>
      <c r="Q210" s="151" t="s">
        <v>37</v>
      </c>
      <c r="R210" s="101" t="s">
        <v>52</v>
      </c>
    </row>
    <row r="211" hidden="1" spans="1:18">
      <c r="A211" s="138"/>
      <c r="B211" s="138"/>
      <c r="C211" s="138"/>
      <c r="D211" s="138"/>
      <c r="E211" s="138"/>
      <c r="F211" s="138"/>
      <c r="G211" s="137"/>
      <c r="H211" s="138"/>
      <c r="I211" s="138"/>
      <c r="J211" s="148"/>
      <c r="K211" s="56"/>
      <c r="L211" s="56"/>
      <c r="M211" s="150"/>
      <c r="N211" s="120" t="s">
        <v>483</v>
      </c>
      <c r="O211" s="142">
        <v>4.869933</v>
      </c>
      <c r="P211" s="143">
        <v>97</v>
      </c>
      <c r="Q211" s="151" t="s">
        <v>37</v>
      </c>
      <c r="R211" s="101"/>
    </row>
    <row r="212" hidden="1" spans="1:18">
      <c r="A212" s="138"/>
      <c r="B212" s="138"/>
      <c r="C212" s="138"/>
      <c r="D212" s="138"/>
      <c r="E212" s="138"/>
      <c r="F212" s="138"/>
      <c r="G212" s="137"/>
      <c r="H212" s="138"/>
      <c r="I212" s="138"/>
      <c r="J212" s="148"/>
      <c r="K212" s="56"/>
      <c r="L212" s="56"/>
      <c r="M212" s="150"/>
      <c r="N212" s="120" t="s">
        <v>484</v>
      </c>
      <c r="O212" s="142">
        <v>0.203325</v>
      </c>
      <c r="P212" s="143">
        <v>1</v>
      </c>
      <c r="Q212" s="151" t="s">
        <v>44</v>
      </c>
      <c r="R212" s="101"/>
    </row>
    <row r="213" ht="30" hidden="1" spans="1:18">
      <c r="A213" s="56" t="s">
        <v>420</v>
      </c>
      <c r="B213" s="99" t="s">
        <v>30</v>
      </c>
      <c r="C213" s="56" t="s">
        <v>485</v>
      </c>
      <c r="D213" s="56" t="s">
        <v>25</v>
      </c>
      <c r="E213" s="99" t="s">
        <v>193</v>
      </c>
      <c r="F213" s="99" t="s">
        <v>486</v>
      </c>
      <c r="G213" s="112">
        <f t="shared" si="13"/>
        <v>0.95</v>
      </c>
      <c r="H213" s="56" t="s">
        <v>487</v>
      </c>
      <c r="I213" s="99"/>
      <c r="J213" s="119">
        <v>30.951454</v>
      </c>
      <c r="K213" s="99">
        <v>0</v>
      </c>
      <c r="L213" s="99"/>
      <c r="M213" s="101">
        <v>1</v>
      </c>
      <c r="N213" s="120"/>
      <c r="O213" s="120"/>
      <c r="P213" s="37"/>
      <c r="Q213" s="120"/>
      <c r="R213" s="124" t="s">
        <v>38</v>
      </c>
    </row>
    <row r="214" hidden="1" spans="1:18">
      <c r="A214" s="138" t="s">
        <v>420</v>
      </c>
      <c r="B214" s="138" t="s">
        <v>23</v>
      </c>
      <c r="C214" s="138" t="s">
        <v>488</v>
      </c>
      <c r="D214" s="138" t="s">
        <v>32</v>
      </c>
      <c r="E214" s="138">
        <v>29</v>
      </c>
      <c r="F214" s="138">
        <v>3</v>
      </c>
      <c r="G214" s="137">
        <v>0.103448275862069</v>
      </c>
      <c r="H214" s="138" t="s">
        <v>489</v>
      </c>
      <c r="I214" s="138" t="s">
        <v>490</v>
      </c>
      <c r="J214" s="148">
        <v>4.1</v>
      </c>
      <c r="K214" s="56">
        <v>23.3</v>
      </c>
      <c r="L214" s="56" t="s">
        <v>44</v>
      </c>
      <c r="M214" s="149">
        <v>0.14963503649635</v>
      </c>
      <c r="N214" s="151" t="s">
        <v>491</v>
      </c>
      <c r="O214" s="142">
        <v>9.818653</v>
      </c>
      <c r="P214" s="143">
        <v>1</v>
      </c>
      <c r="Q214" s="120" t="s">
        <v>44</v>
      </c>
      <c r="R214" s="56" t="s">
        <v>38</v>
      </c>
    </row>
    <row r="215" hidden="1" spans="1:18">
      <c r="A215" s="138"/>
      <c r="B215" s="138"/>
      <c r="C215" s="138"/>
      <c r="D215" s="138"/>
      <c r="E215" s="138"/>
      <c r="F215" s="138"/>
      <c r="G215" s="137"/>
      <c r="H215" s="138"/>
      <c r="I215" s="138"/>
      <c r="J215" s="148"/>
      <c r="K215" s="56"/>
      <c r="L215" s="56"/>
      <c r="M215" s="149"/>
      <c r="N215" s="151" t="s">
        <v>492</v>
      </c>
      <c r="O215" s="142">
        <v>1.558576</v>
      </c>
      <c r="P215" s="143">
        <v>1</v>
      </c>
      <c r="Q215" s="120" t="s">
        <v>44</v>
      </c>
      <c r="R215" s="56"/>
    </row>
    <row r="216" hidden="1" spans="1:18">
      <c r="A216" s="138"/>
      <c r="B216" s="138"/>
      <c r="C216" s="138"/>
      <c r="D216" s="138"/>
      <c r="E216" s="138"/>
      <c r="F216" s="138"/>
      <c r="G216" s="137"/>
      <c r="H216" s="138"/>
      <c r="I216" s="138"/>
      <c r="J216" s="148"/>
      <c r="K216" s="56"/>
      <c r="L216" s="56"/>
      <c r="M216" s="149"/>
      <c r="N216" s="151" t="s">
        <v>493</v>
      </c>
      <c r="O216" s="142">
        <v>6.108719</v>
      </c>
      <c r="P216" s="143">
        <v>1</v>
      </c>
      <c r="Q216" s="120" t="s">
        <v>44</v>
      </c>
      <c r="R216" s="56"/>
    </row>
    <row r="217" hidden="1" spans="1:18">
      <c r="A217" s="138"/>
      <c r="B217" s="138"/>
      <c r="C217" s="138"/>
      <c r="D217" s="138"/>
      <c r="E217" s="138"/>
      <c r="F217" s="138"/>
      <c r="G217" s="137"/>
      <c r="H217" s="138"/>
      <c r="I217" s="138"/>
      <c r="J217" s="148"/>
      <c r="K217" s="56"/>
      <c r="L217" s="56"/>
      <c r="M217" s="149"/>
      <c r="N217" s="151" t="s">
        <v>494</v>
      </c>
      <c r="O217" s="142">
        <v>0.988219</v>
      </c>
      <c r="P217" s="143">
        <v>1</v>
      </c>
      <c r="Q217" s="120" t="s">
        <v>44</v>
      </c>
      <c r="R217" s="56"/>
    </row>
    <row r="218" hidden="1" spans="1:18">
      <c r="A218" s="138"/>
      <c r="B218" s="138"/>
      <c r="C218" s="138"/>
      <c r="D218" s="138"/>
      <c r="E218" s="138"/>
      <c r="F218" s="138"/>
      <c r="G218" s="137"/>
      <c r="H218" s="138"/>
      <c r="I218" s="138"/>
      <c r="J218" s="148"/>
      <c r="K218" s="56"/>
      <c r="L218" s="56"/>
      <c r="M218" s="149"/>
      <c r="N218" s="151" t="s">
        <v>495</v>
      </c>
      <c r="O218" s="142">
        <v>3.25619</v>
      </c>
      <c r="P218" s="143">
        <v>1</v>
      </c>
      <c r="Q218" s="120" t="s">
        <v>44</v>
      </c>
      <c r="R218" s="56"/>
    </row>
    <row r="219" hidden="1" spans="1:18">
      <c r="A219" s="138"/>
      <c r="B219" s="138"/>
      <c r="C219" s="138"/>
      <c r="D219" s="138"/>
      <c r="E219" s="138"/>
      <c r="F219" s="138"/>
      <c r="G219" s="137"/>
      <c r="H219" s="138"/>
      <c r="I219" s="138"/>
      <c r="J219" s="148"/>
      <c r="K219" s="56"/>
      <c r="L219" s="56"/>
      <c r="M219" s="149"/>
      <c r="N219" s="151" t="s">
        <v>496</v>
      </c>
      <c r="O219" s="142">
        <v>0.897022</v>
      </c>
      <c r="P219" s="143">
        <v>1</v>
      </c>
      <c r="Q219" s="120" t="s">
        <v>44</v>
      </c>
      <c r="R219" s="56"/>
    </row>
    <row r="220" hidden="1" spans="1:18">
      <c r="A220" s="138"/>
      <c r="B220" s="138"/>
      <c r="C220" s="138"/>
      <c r="D220" s="138"/>
      <c r="E220" s="138"/>
      <c r="F220" s="138"/>
      <c r="G220" s="137"/>
      <c r="H220" s="138"/>
      <c r="I220" s="138"/>
      <c r="J220" s="148"/>
      <c r="K220" s="56"/>
      <c r="L220" s="56"/>
      <c r="M220" s="149"/>
      <c r="N220" s="151" t="s">
        <v>497</v>
      </c>
      <c r="O220" s="142">
        <v>0.682484</v>
      </c>
      <c r="P220" s="143">
        <v>1</v>
      </c>
      <c r="Q220" s="120" t="s">
        <v>44</v>
      </c>
      <c r="R220" s="56"/>
    </row>
    <row r="221" ht="45" hidden="1" spans="1:18">
      <c r="A221" s="56" t="s">
        <v>420</v>
      </c>
      <c r="B221" s="99" t="s">
        <v>23</v>
      </c>
      <c r="C221" s="56" t="s">
        <v>498</v>
      </c>
      <c r="D221" s="56" t="s">
        <v>25</v>
      </c>
      <c r="E221" s="99" t="s">
        <v>176</v>
      </c>
      <c r="F221" s="99" t="s">
        <v>204</v>
      </c>
      <c r="G221" s="112">
        <f t="shared" ref="G221:G225" si="14">F221/E221</f>
        <v>0.7</v>
      </c>
      <c r="H221" s="56" t="s">
        <v>499</v>
      </c>
      <c r="I221" s="99"/>
      <c r="J221" s="119">
        <v>16.527065</v>
      </c>
      <c r="K221" s="99">
        <v>0</v>
      </c>
      <c r="L221" s="99"/>
      <c r="M221" s="101">
        <v>1</v>
      </c>
      <c r="N221" s="120"/>
      <c r="O221" s="120"/>
      <c r="P221" s="37"/>
      <c r="Q221" s="120"/>
      <c r="R221" s="124" t="s">
        <v>453</v>
      </c>
    </row>
    <row r="222" ht="30" hidden="1" spans="1:18">
      <c r="A222" s="56" t="s">
        <v>420</v>
      </c>
      <c r="B222" s="99" t="s">
        <v>23</v>
      </c>
      <c r="C222" s="56" t="s">
        <v>500</v>
      </c>
      <c r="D222" s="56" t="s">
        <v>25</v>
      </c>
      <c r="E222" s="99" t="s">
        <v>293</v>
      </c>
      <c r="F222" s="99" t="s">
        <v>293</v>
      </c>
      <c r="G222" s="112">
        <f t="shared" si="14"/>
        <v>1</v>
      </c>
      <c r="H222" s="99" t="s">
        <v>436</v>
      </c>
      <c r="I222" s="99"/>
      <c r="J222" s="119">
        <v>5.3924</v>
      </c>
      <c r="K222" s="99">
        <v>0</v>
      </c>
      <c r="L222" s="99"/>
      <c r="M222" s="101">
        <v>1</v>
      </c>
      <c r="N222" s="120"/>
      <c r="O222" s="120"/>
      <c r="P222" s="37"/>
      <c r="Q222" s="120"/>
      <c r="R222" s="124" t="s">
        <v>52</v>
      </c>
    </row>
    <row r="223" ht="45" hidden="1" spans="1:18">
      <c r="A223" s="56" t="s">
        <v>420</v>
      </c>
      <c r="B223" s="99" t="s">
        <v>158</v>
      </c>
      <c r="C223" s="56" t="s">
        <v>501</v>
      </c>
      <c r="D223" s="56" t="s">
        <v>25</v>
      </c>
      <c r="E223" s="99" t="s">
        <v>324</v>
      </c>
      <c r="F223" s="99" t="s">
        <v>176</v>
      </c>
      <c r="G223" s="112">
        <f t="shared" si="14"/>
        <v>0.769230769230769</v>
      </c>
      <c r="H223" s="56" t="s">
        <v>502</v>
      </c>
      <c r="I223" s="99"/>
      <c r="J223" s="119">
        <v>15.098578</v>
      </c>
      <c r="K223" s="99">
        <v>0</v>
      </c>
      <c r="L223" s="99"/>
      <c r="M223" s="101">
        <v>1</v>
      </c>
      <c r="N223" s="120"/>
      <c r="O223" s="120"/>
      <c r="P223" s="37"/>
      <c r="Q223" s="120"/>
      <c r="R223" s="124" t="s">
        <v>38</v>
      </c>
    </row>
    <row r="224" ht="45" hidden="1" spans="1:18">
      <c r="A224" s="56" t="s">
        <v>420</v>
      </c>
      <c r="B224" s="99" t="s">
        <v>23</v>
      </c>
      <c r="C224" s="56" t="s">
        <v>503</v>
      </c>
      <c r="D224" s="56" t="s">
        <v>25</v>
      </c>
      <c r="E224" s="99" t="s">
        <v>324</v>
      </c>
      <c r="F224" s="99" t="s">
        <v>176</v>
      </c>
      <c r="G224" s="112">
        <f t="shared" si="14"/>
        <v>0.769230769230769</v>
      </c>
      <c r="H224" s="56" t="s">
        <v>504</v>
      </c>
      <c r="I224" s="99"/>
      <c r="J224" s="119">
        <v>13.927315</v>
      </c>
      <c r="K224" s="99">
        <v>0</v>
      </c>
      <c r="L224" s="99"/>
      <c r="M224" s="101">
        <v>1</v>
      </c>
      <c r="N224" s="120"/>
      <c r="O224" s="120"/>
      <c r="P224" s="37"/>
      <c r="Q224" s="120"/>
      <c r="R224" s="124" t="s">
        <v>38</v>
      </c>
    </row>
    <row r="225" ht="45" hidden="1" spans="1:18">
      <c r="A225" s="56" t="s">
        <v>420</v>
      </c>
      <c r="B225" s="99" t="s">
        <v>23</v>
      </c>
      <c r="C225" s="56" t="s">
        <v>505</v>
      </c>
      <c r="D225" s="56" t="s">
        <v>32</v>
      </c>
      <c r="E225" s="99" t="s">
        <v>324</v>
      </c>
      <c r="F225" s="99" t="s">
        <v>185</v>
      </c>
      <c r="G225" s="112">
        <f t="shared" si="14"/>
        <v>0.846153846153846</v>
      </c>
      <c r="H225" s="56" t="s">
        <v>506</v>
      </c>
      <c r="I225" s="121" t="s">
        <v>507</v>
      </c>
      <c r="J225" s="119">
        <v>19.9</v>
      </c>
      <c r="K225" s="99">
        <v>0.2</v>
      </c>
      <c r="L225" s="99" t="s">
        <v>37</v>
      </c>
      <c r="M225" s="101">
        <v>0.99</v>
      </c>
      <c r="N225" s="120" t="s">
        <v>508</v>
      </c>
      <c r="O225" s="124">
        <v>0.2</v>
      </c>
      <c r="P225" s="45">
        <v>5</v>
      </c>
      <c r="Q225" s="120" t="s">
        <v>37</v>
      </c>
      <c r="R225" s="124" t="s">
        <v>453</v>
      </c>
    </row>
    <row r="226" hidden="1" spans="1:18">
      <c r="A226" s="138" t="s">
        <v>420</v>
      </c>
      <c r="B226" s="138" t="s">
        <v>30</v>
      </c>
      <c r="C226" s="138" t="s">
        <v>509</v>
      </c>
      <c r="D226" s="138" t="s">
        <v>32</v>
      </c>
      <c r="E226" s="138" t="s">
        <v>470</v>
      </c>
      <c r="F226" s="138" t="s">
        <v>185</v>
      </c>
      <c r="G226" s="137">
        <v>0.366666666666667</v>
      </c>
      <c r="H226" s="138" t="s">
        <v>510</v>
      </c>
      <c r="I226" s="138" t="s">
        <v>511</v>
      </c>
      <c r="J226" s="148">
        <v>45.178515</v>
      </c>
      <c r="K226" s="56">
        <v>27.3</v>
      </c>
      <c r="L226" s="56" t="s">
        <v>381</v>
      </c>
      <c r="M226" s="149">
        <v>0.62333665362763</v>
      </c>
      <c r="N226" s="120" t="s">
        <v>512</v>
      </c>
      <c r="O226" s="142">
        <v>5.180778</v>
      </c>
      <c r="P226" s="143">
        <v>41</v>
      </c>
      <c r="Q226" s="120" t="s">
        <v>37</v>
      </c>
      <c r="R226" s="56" t="s">
        <v>38</v>
      </c>
    </row>
    <row r="227" hidden="1" spans="1:18">
      <c r="A227" s="138"/>
      <c r="B227" s="138"/>
      <c r="C227" s="138"/>
      <c r="D227" s="138"/>
      <c r="E227" s="138"/>
      <c r="F227" s="138"/>
      <c r="G227" s="137"/>
      <c r="H227" s="138"/>
      <c r="I227" s="138"/>
      <c r="J227" s="148"/>
      <c r="K227" s="56"/>
      <c r="L227" s="56"/>
      <c r="M227" s="149"/>
      <c r="N227" s="120" t="s">
        <v>513</v>
      </c>
      <c r="O227" s="142">
        <v>6.139805</v>
      </c>
      <c r="P227" s="143">
        <v>50</v>
      </c>
      <c r="Q227" s="120" t="s">
        <v>37</v>
      </c>
      <c r="R227" s="56"/>
    </row>
    <row r="228" hidden="1" spans="1:18">
      <c r="A228" s="138"/>
      <c r="B228" s="138"/>
      <c r="C228" s="138"/>
      <c r="D228" s="138"/>
      <c r="E228" s="138"/>
      <c r="F228" s="138"/>
      <c r="G228" s="137"/>
      <c r="H228" s="138"/>
      <c r="I228" s="138"/>
      <c r="J228" s="148"/>
      <c r="K228" s="56"/>
      <c r="L228" s="56"/>
      <c r="M228" s="149"/>
      <c r="N228" s="120" t="s">
        <v>514</v>
      </c>
      <c r="O228" s="142">
        <v>1.72016</v>
      </c>
      <c r="P228" s="143">
        <v>9</v>
      </c>
      <c r="Q228" s="120" t="s">
        <v>37</v>
      </c>
      <c r="R228" s="56"/>
    </row>
    <row r="229" hidden="1" spans="1:18">
      <c r="A229" s="138"/>
      <c r="B229" s="138"/>
      <c r="C229" s="138"/>
      <c r="D229" s="138"/>
      <c r="E229" s="138"/>
      <c r="F229" s="138"/>
      <c r="G229" s="137"/>
      <c r="H229" s="138"/>
      <c r="I229" s="138"/>
      <c r="J229" s="148"/>
      <c r="K229" s="56"/>
      <c r="L229" s="56"/>
      <c r="M229" s="149"/>
      <c r="N229" s="120" t="s">
        <v>515</v>
      </c>
      <c r="O229" s="142">
        <v>1.689715</v>
      </c>
      <c r="P229" s="143">
        <v>10</v>
      </c>
      <c r="Q229" s="120" t="s">
        <v>37</v>
      </c>
      <c r="R229" s="56"/>
    </row>
    <row r="230" hidden="1" spans="1:18">
      <c r="A230" s="138"/>
      <c r="B230" s="138"/>
      <c r="C230" s="138"/>
      <c r="D230" s="138"/>
      <c r="E230" s="138"/>
      <c r="F230" s="138"/>
      <c r="G230" s="137"/>
      <c r="H230" s="138"/>
      <c r="I230" s="138"/>
      <c r="J230" s="148"/>
      <c r="K230" s="56"/>
      <c r="L230" s="56"/>
      <c r="M230" s="149"/>
      <c r="N230" s="120" t="s">
        <v>516</v>
      </c>
      <c r="O230" s="142">
        <v>1.847549</v>
      </c>
      <c r="P230" s="143">
        <v>1</v>
      </c>
      <c r="Q230" s="120" t="s">
        <v>44</v>
      </c>
      <c r="R230" s="56"/>
    </row>
    <row r="231" hidden="1" spans="1:18">
      <c r="A231" s="138"/>
      <c r="B231" s="138"/>
      <c r="C231" s="138"/>
      <c r="D231" s="138"/>
      <c r="E231" s="138"/>
      <c r="F231" s="138"/>
      <c r="G231" s="137"/>
      <c r="H231" s="138"/>
      <c r="I231" s="138"/>
      <c r="J231" s="148"/>
      <c r="K231" s="56"/>
      <c r="L231" s="56"/>
      <c r="M231" s="149"/>
      <c r="N231" s="120" t="s">
        <v>517</v>
      </c>
      <c r="O231" s="142">
        <v>0.898137</v>
      </c>
      <c r="P231" s="143">
        <v>1</v>
      </c>
      <c r="Q231" s="120" t="s">
        <v>44</v>
      </c>
      <c r="R231" s="56"/>
    </row>
    <row r="232" hidden="1" spans="1:18">
      <c r="A232" s="138"/>
      <c r="B232" s="138"/>
      <c r="C232" s="138"/>
      <c r="D232" s="138"/>
      <c r="E232" s="138"/>
      <c r="F232" s="138"/>
      <c r="G232" s="137"/>
      <c r="H232" s="138"/>
      <c r="I232" s="138"/>
      <c r="J232" s="148"/>
      <c r="K232" s="56"/>
      <c r="L232" s="56"/>
      <c r="M232" s="149"/>
      <c r="N232" s="120" t="s">
        <v>518</v>
      </c>
      <c r="O232" s="142">
        <v>2.735004</v>
      </c>
      <c r="P232" s="143">
        <v>54</v>
      </c>
      <c r="Q232" s="120" t="s">
        <v>37</v>
      </c>
      <c r="R232" s="56"/>
    </row>
    <row r="233" hidden="1" spans="1:18">
      <c r="A233" s="138"/>
      <c r="B233" s="138"/>
      <c r="C233" s="138"/>
      <c r="D233" s="138"/>
      <c r="E233" s="138"/>
      <c r="F233" s="138"/>
      <c r="G233" s="137"/>
      <c r="H233" s="138"/>
      <c r="I233" s="138"/>
      <c r="J233" s="148"/>
      <c r="K233" s="56"/>
      <c r="L233" s="56"/>
      <c r="M233" s="149"/>
      <c r="N233" s="120" t="s">
        <v>519</v>
      </c>
      <c r="O233" s="142">
        <v>4.866176</v>
      </c>
      <c r="P233" s="143">
        <v>36</v>
      </c>
      <c r="Q233" s="120" t="s">
        <v>37</v>
      </c>
      <c r="R233" s="56"/>
    </row>
    <row r="234" hidden="1" spans="1:18">
      <c r="A234" s="138"/>
      <c r="B234" s="138"/>
      <c r="C234" s="138"/>
      <c r="D234" s="138"/>
      <c r="E234" s="138"/>
      <c r="F234" s="138"/>
      <c r="G234" s="137"/>
      <c r="H234" s="138"/>
      <c r="I234" s="138"/>
      <c r="J234" s="148"/>
      <c r="K234" s="56"/>
      <c r="L234" s="56"/>
      <c r="M234" s="149"/>
      <c r="N234" s="120" t="s">
        <v>520</v>
      </c>
      <c r="O234" s="142">
        <v>1.243184</v>
      </c>
      <c r="P234" s="143">
        <v>1</v>
      </c>
      <c r="Q234" s="120" t="s">
        <v>44</v>
      </c>
      <c r="R234" s="56"/>
    </row>
    <row r="235" hidden="1" spans="1:18">
      <c r="A235" s="138"/>
      <c r="B235" s="138"/>
      <c r="C235" s="138"/>
      <c r="D235" s="138"/>
      <c r="E235" s="138"/>
      <c r="F235" s="138"/>
      <c r="G235" s="137"/>
      <c r="H235" s="138"/>
      <c r="I235" s="138"/>
      <c r="J235" s="148"/>
      <c r="K235" s="56"/>
      <c r="L235" s="56"/>
      <c r="M235" s="149"/>
      <c r="N235" s="120" t="s">
        <v>521</v>
      </c>
      <c r="O235" s="142">
        <v>1.008078</v>
      </c>
      <c r="P235" s="143">
        <v>1</v>
      </c>
      <c r="Q235" s="120" t="s">
        <v>44</v>
      </c>
      <c r="R235" s="56"/>
    </row>
    <row r="236" ht="60" hidden="1" spans="1:18">
      <c r="A236" s="56" t="s">
        <v>420</v>
      </c>
      <c r="B236" s="99" t="s">
        <v>30</v>
      </c>
      <c r="C236" s="56" t="s">
        <v>173</v>
      </c>
      <c r="D236" s="56" t="s">
        <v>32</v>
      </c>
      <c r="E236" s="99" t="s">
        <v>271</v>
      </c>
      <c r="F236" s="99" t="s">
        <v>486</v>
      </c>
      <c r="G236" s="112">
        <f t="shared" ref="G236:G238" si="15">F236/E236</f>
        <v>0.791666666666667</v>
      </c>
      <c r="H236" s="114" t="s">
        <v>522</v>
      </c>
      <c r="I236" s="122" t="s">
        <v>523</v>
      </c>
      <c r="J236" s="119">
        <v>36.7</v>
      </c>
      <c r="K236" s="99">
        <v>2.2</v>
      </c>
      <c r="L236" s="56" t="s">
        <v>37</v>
      </c>
      <c r="M236" s="101">
        <v>0.943</v>
      </c>
      <c r="N236" s="124" t="s">
        <v>524</v>
      </c>
      <c r="O236" s="124">
        <v>2.2</v>
      </c>
      <c r="P236" s="45">
        <v>11</v>
      </c>
      <c r="Q236" s="124" t="s">
        <v>37</v>
      </c>
      <c r="R236" s="124" t="s">
        <v>38</v>
      </c>
    </row>
    <row r="237" ht="165" hidden="1" spans="1:18">
      <c r="A237" s="56" t="s">
        <v>420</v>
      </c>
      <c r="B237" s="99" t="s">
        <v>30</v>
      </c>
      <c r="C237" s="56" t="s">
        <v>525</v>
      </c>
      <c r="D237" s="56" t="s">
        <v>25</v>
      </c>
      <c r="E237" s="99" t="s">
        <v>526</v>
      </c>
      <c r="F237" s="99" t="s">
        <v>307</v>
      </c>
      <c r="G237" s="112">
        <f t="shared" si="15"/>
        <v>0.580645161290323</v>
      </c>
      <c r="H237" s="114" t="s">
        <v>527</v>
      </c>
      <c r="I237" s="122"/>
      <c r="J237" s="119">
        <v>71.811528</v>
      </c>
      <c r="K237" s="99">
        <v>0</v>
      </c>
      <c r="L237" s="56"/>
      <c r="M237" s="101">
        <v>1</v>
      </c>
      <c r="N237" s="120"/>
      <c r="O237" s="120"/>
      <c r="P237" s="37"/>
      <c r="Q237" s="120"/>
      <c r="R237" s="124" t="s">
        <v>38</v>
      </c>
    </row>
    <row r="238" ht="60" hidden="1" spans="1:18">
      <c r="A238" s="56" t="s">
        <v>420</v>
      </c>
      <c r="B238" s="99" t="s">
        <v>30</v>
      </c>
      <c r="C238" s="56" t="s">
        <v>528</v>
      </c>
      <c r="D238" s="56" t="s">
        <v>25</v>
      </c>
      <c r="E238" s="99" t="s">
        <v>324</v>
      </c>
      <c r="F238" s="99">
        <v>9</v>
      </c>
      <c r="G238" s="112">
        <f t="shared" si="15"/>
        <v>0.692307692307692</v>
      </c>
      <c r="H238" s="114" t="s">
        <v>529</v>
      </c>
      <c r="I238" s="122"/>
      <c r="J238" s="119">
        <v>16.79</v>
      </c>
      <c r="K238" s="99">
        <v>0</v>
      </c>
      <c r="L238" s="56"/>
      <c r="M238" s="101">
        <v>1</v>
      </c>
      <c r="N238" s="120"/>
      <c r="O238" s="120"/>
      <c r="P238" s="37"/>
      <c r="Q238" s="120"/>
      <c r="R238" s="124" t="s">
        <v>38</v>
      </c>
    </row>
    <row r="239" hidden="1" spans="1:18">
      <c r="A239" s="138" t="s">
        <v>420</v>
      </c>
      <c r="B239" s="138" t="s">
        <v>30</v>
      </c>
      <c r="C239" s="138" t="s">
        <v>530</v>
      </c>
      <c r="D239" s="138" t="s">
        <v>32</v>
      </c>
      <c r="E239" s="138" t="s">
        <v>179</v>
      </c>
      <c r="F239" s="138" t="s">
        <v>311</v>
      </c>
      <c r="G239" s="137">
        <v>0.125</v>
      </c>
      <c r="H239" s="138" t="s">
        <v>531</v>
      </c>
      <c r="I239" s="138" t="s">
        <v>532</v>
      </c>
      <c r="J239" s="148">
        <v>7.910219</v>
      </c>
      <c r="K239" s="56">
        <v>9.1</v>
      </c>
      <c r="L239" s="56" t="s">
        <v>37</v>
      </c>
      <c r="M239" s="149">
        <v>0.465027463785152</v>
      </c>
      <c r="N239" s="120" t="s">
        <v>533</v>
      </c>
      <c r="O239" s="142">
        <v>2.779812</v>
      </c>
      <c r="P239" s="143">
        <v>56</v>
      </c>
      <c r="Q239" s="151" t="s">
        <v>37</v>
      </c>
      <c r="R239" s="124" t="s">
        <v>52</v>
      </c>
    </row>
    <row r="240" hidden="1" spans="1:18">
      <c r="A240" s="138"/>
      <c r="B240" s="138"/>
      <c r="C240" s="138"/>
      <c r="D240" s="138"/>
      <c r="E240" s="138"/>
      <c r="F240" s="138"/>
      <c r="G240" s="137"/>
      <c r="H240" s="138"/>
      <c r="I240" s="138"/>
      <c r="J240" s="148"/>
      <c r="K240" s="56"/>
      <c r="L240" s="56"/>
      <c r="M240" s="149"/>
      <c r="N240" s="152" t="s">
        <v>534</v>
      </c>
      <c r="O240" s="142">
        <v>3.91637</v>
      </c>
      <c r="P240" s="143">
        <v>55</v>
      </c>
      <c r="Q240" s="151" t="s">
        <v>37</v>
      </c>
      <c r="R240" s="124"/>
    </row>
    <row r="241" hidden="1" spans="1:18">
      <c r="A241" s="138"/>
      <c r="B241" s="138"/>
      <c r="C241" s="138"/>
      <c r="D241" s="138"/>
      <c r="E241" s="138"/>
      <c r="F241" s="138"/>
      <c r="G241" s="137"/>
      <c r="H241" s="138"/>
      <c r="I241" s="138"/>
      <c r="J241" s="148"/>
      <c r="K241" s="56"/>
      <c r="L241" s="56"/>
      <c r="M241" s="149"/>
      <c r="N241" s="152" t="s">
        <v>535</v>
      </c>
      <c r="O241" s="142">
        <v>2.466314</v>
      </c>
      <c r="P241" s="143">
        <v>82</v>
      </c>
      <c r="Q241" s="151" t="s">
        <v>37</v>
      </c>
      <c r="R241" s="124"/>
    </row>
    <row r="242" ht="180" hidden="1" spans="1:18">
      <c r="A242" s="56" t="s">
        <v>420</v>
      </c>
      <c r="B242" s="99" t="s">
        <v>30</v>
      </c>
      <c r="C242" s="56" t="s">
        <v>536</v>
      </c>
      <c r="D242" s="56" t="s">
        <v>32</v>
      </c>
      <c r="E242" s="99" t="s">
        <v>537</v>
      </c>
      <c r="F242" s="99" t="s">
        <v>538</v>
      </c>
      <c r="G242" s="112">
        <f>F242/E242</f>
        <v>0.686274509803922</v>
      </c>
      <c r="H242" s="114" t="s">
        <v>539</v>
      </c>
      <c r="I242" s="122" t="s">
        <v>540</v>
      </c>
      <c r="J242" s="119">
        <v>102.287038</v>
      </c>
      <c r="K242" s="99">
        <v>1.2</v>
      </c>
      <c r="L242" s="56" t="s">
        <v>37</v>
      </c>
      <c r="M242" s="150">
        <v>0.988404344899697</v>
      </c>
      <c r="N242" s="141" t="s">
        <v>541</v>
      </c>
      <c r="O242" s="142">
        <v>1.18676</v>
      </c>
      <c r="P242" s="143">
        <v>5</v>
      </c>
      <c r="Q242" s="151" t="s">
        <v>37</v>
      </c>
      <c r="R242" s="124" t="s">
        <v>453</v>
      </c>
    </row>
    <row r="243" hidden="1" spans="1:18">
      <c r="A243" s="138" t="s">
        <v>420</v>
      </c>
      <c r="B243" s="138" t="s">
        <v>30</v>
      </c>
      <c r="C243" s="138" t="s">
        <v>542</v>
      </c>
      <c r="D243" s="138" t="s">
        <v>32</v>
      </c>
      <c r="E243" s="138">
        <v>39</v>
      </c>
      <c r="F243" s="138">
        <v>15</v>
      </c>
      <c r="G243" s="137">
        <v>0.384615384615385</v>
      </c>
      <c r="H243" s="138" t="s">
        <v>543</v>
      </c>
      <c r="I243" s="138" t="s">
        <v>544</v>
      </c>
      <c r="J243" s="148">
        <v>63.848176</v>
      </c>
      <c r="K243" s="148">
        <v>16</v>
      </c>
      <c r="L243" s="56" t="s">
        <v>381</v>
      </c>
      <c r="M243" s="149">
        <v>0.799619718301392</v>
      </c>
      <c r="N243" s="120" t="s">
        <v>545</v>
      </c>
      <c r="O243" s="142">
        <v>1.279596</v>
      </c>
      <c r="P243" s="143">
        <v>1</v>
      </c>
      <c r="Q243" s="151" t="s">
        <v>44</v>
      </c>
      <c r="R243" s="124" t="s">
        <v>453</v>
      </c>
    </row>
    <row r="244" hidden="1" spans="1:18">
      <c r="A244" s="138"/>
      <c r="B244" s="138"/>
      <c r="C244" s="138"/>
      <c r="D244" s="138"/>
      <c r="E244" s="138"/>
      <c r="F244" s="138"/>
      <c r="G244" s="137"/>
      <c r="H244" s="138"/>
      <c r="I244" s="138"/>
      <c r="J244" s="148"/>
      <c r="K244" s="56"/>
      <c r="L244" s="56"/>
      <c r="M244" s="149"/>
      <c r="N244" s="120" t="s">
        <v>546</v>
      </c>
      <c r="O244" s="142">
        <v>1.879776</v>
      </c>
      <c r="P244" s="143">
        <v>7</v>
      </c>
      <c r="Q244" s="151" t="s">
        <v>37</v>
      </c>
      <c r="R244" s="124"/>
    </row>
    <row r="245" hidden="1" spans="1:18">
      <c r="A245" s="138"/>
      <c r="B245" s="138"/>
      <c r="C245" s="138"/>
      <c r="D245" s="138"/>
      <c r="E245" s="138"/>
      <c r="F245" s="138"/>
      <c r="G245" s="137"/>
      <c r="H245" s="138"/>
      <c r="I245" s="138"/>
      <c r="J245" s="148"/>
      <c r="K245" s="56"/>
      <c r="L245" s="56"/>
      <c r="M245" s="149"/>
      <c r="N245" s="120" t="s">
        <v>547</v>
      </c>
      <c r="O245" s="142">
        <v>1.197632</v>
      </c>
      <c r="P245" s="143">
        <v>1</v>
      </c>
      <c r="Q245" s="151" t="s">
        <v>44</v>
      </c>
      <c r="R245" s="124"/>
    </row>
    <row r="246" hidden="1" spans="1:18">
      <c r="A246" s="138"/>
      <c r="B246" s="138"/>
      <c r="C246" s="138"/>
      <c r="D246" s="138"/>
      <c r="E246" s="138"/>
      <c r="F246" s="138"/>
      <c r="G246" s="137"/>
      <c r="H246" s="138"/>
      <c r="I246" s="138"/>
      <c r="J246" s="148"/>
      <c r="K246" s="56"/>
      <c r="L246" s="56"/>
      <c r="M246" s="149"/>
      <c r="N246" s="120" t="s">
        <v>548</v>
      </c>
      <c r="O246" s="142">
        <v>1.420848</v>
      </c>
      <c r="P246" s="143">
        <v>11</v>
      </c>
      <c r="Q246" s="151" t="s">
        <v>37</v>
      </c>
      <c r="R246" s="124"/>
    </row>
    <row r="247" hidden="1" spans="1:18">
      <c r="A247" s="138"/>
      <c r="B247" s="138"/>
      <c r="C247" s="138"/>
      <c r="D247" s="138"/>
      <c r="E247" s="138"/>
      <c r="F247" s="138"/>
      <c r="G247" s="137"/>
      <c r="H247" s="138"/>
      <c r="I247" s="138"/>
      <c r="J247" s="148"/>
      <c r="K247" s="56"/>
      <c r="L247" s="56"/>
      <c r="M247" s="149"/>
      <c r="N247" s="152" t="s">
        <v>549</v>
      </c>
      <c r="O247" s="142">
        <v>2.232492</v>
      </c>
      <c r="P247" s="143">
        <v>4</v>
      </c>
      <c r="Q247" s="151" t="s">
        <v>37</v>
      </c>
      <c r="R247" s="124"/>
    </row>
    <row r="248" hidden="1" spans="1:18">
      <c r="A248" s="138"/>
      <c r="B248" s="138"/>
      <c r="C248" s="138"/>
      <c r="D248" s="138"/>
      <c r="E248" s="138"/>
      <c r="F248" s="138"/>
      <c r="G248" s="137"/>
      <c r="H248" s="138"/>
      <c r="I248" s="138"/>
      <c r="J248" s="148"/>
      <c r="K248" s="56"/>
      <c r="L248" s="56"/>
      <c r="M248" s="149"/>
      <c r="N248" s="152" t="s">
        <v>550</v>
      </c>
      <c r="O248" s="142">
        <v>2.013024</v>
      </c>
      <c r="P248" s="143">
        <v>4</v>
      </c>
      <c r="Q248" s="151" t="s">
        <v>37</v>
      </c>
      <c r="R248" s="124"/>
    </row>
    <row r="249" hidden="1" spans="1:18">
      <c r="A249" s="138"/>
      <c r="B249" s="138"/>
      <c r="C249" s="138"/>
      <c r="D249" s="138"/>
      <c r="E249" s="138"/>
      <c r="F249" s="138"/>
      <c r="G249" s="137"/>
      <c r="H249" s="138"/>
      <c r="I249" s="138"/>
      <c r="J249" s="148"/>
      <c r="K249" s="56"/>
      <c r="L249" s="56"/>
      <c r="M249" s="149"/>
      <c r="N249" s="152" t="s">
        <v>551</v>
      </c>
      <c r="O249" s="142">
        <v>0.887772</v>
      </c>
      <c r="P249" s="143">
        <v>2</v>
      </c>
      <c r="Q249" s="151" t="s">
        <v>37</v>
      </c>
      <c r="R249" s="124"/>
    </row>
    <row r="250" hidden="1" spans="1:18">
      <c r="A250" s="138"/>
      <c r="B250" s="138"/>
      <c r="C250" s="138"/>
      <c r="D250" s="138"/>
      <c r="E250" s="138"/>
      <c r="F250" s="138"/>
      <c r="G250" s="137"/>
      <c r="H250" s="138"/>
      <c r="I250" s="138"/>
      <c r="J250" s="148"/>
      <c r="K250" s="56"/>
      <c r="L250" s="56"/>
      <c r="M250" s="149"/>
      <c r="N250" s="152" t="s">
        <v>552</v>
      </c>
      <c r="O250" s="142">
        <v>0.422988</v>
      </c>
      <c r="P250" s="143">
        <v>4</v>
      </c>
      <c r="Q250" s="151" t="s">
        <v>37</v>
      </c>
      <c r="R250" s="124"/>
    </row>
    <row r="251" hidden="1" spans="1:18">
      <c r="A251" s="138"/>
      <c r="B251" s="138"/>
      <c r="C251" s="138"/>
      <c r="D251" s="138"/>
      <c r="E251" s="138"/>
      <c r="F251" s="138"/>
      <c r="G251" s="137"/>
      <c r="H251" s="138"/>
      <c r="I251" s="138"/>
      <c r="J251" s="148"/>
      <c r="K251" s="56"/>
      <c r="L251" s="56"/>
      <c r="M251" s="149"/>
      <c r="N251" s="152" t="s">
        <v>553</v>
      </c>
      <c r="O251" s="142">
        <v>2.364936</v>
      </c>
      <c r="P251" s="143">
        <v>21</v>
      </c>
      <c r="Q251" s="151" t="s">
        <v>37</v>
      </c>
      <c r="R251" s="124"/>
    </row>
    <row r="252" hidden="1" spans="1:18">
      <c r="A252" s="138"/>
      <c r="B252" s="138"/>
      <c r="C252" s="138"/>
      <c r="D252" s="138"/>
      <c r="E252" s="138"/>
      <c r="F252" s="138"/>
      <c r="G252" s="137"/>
      <c r="H252" s="138"/>
      <c r="I252" s="138"/>
      <c r="J252" s="148"/>
      <c r="K252" s="56"/>
      <c r="L252" s="56"/>
      <c r="M252" s="149"/>
      <c r="N252" s="152" t="s">
        <v>554</v>
      </c>
      <c r="O252" s="142">
        <v>1.97238</v>
      </c>
      <c r="P252" s="143">
        <v>23</v>
      </c>
      <c r="Q252" s="151" t="s">
        <v>37</v>
      </c>
      <c r="R252" s="124"/>
    </row>
    <row r="253" hidden="1" spans="1:18">
      <c r="A253" s="138"/>
      <c r="B253" s="138"/>
      <c r="C253" s="138"/>
      <c r="D253" s="138"/>
      <c r="E253" s="138"/>
      <c r="F253" s="138"/>
      <c r="G253" s="137"/>
      <c r="H253" s="138"/>
      <c r="I253" s="138"/>
      <c r="J253" s="148"/>
      <c r="K253" s="56"/>
      <c r="L253" s="56"/>
      <c r="M253" s="149"/>
      <c r="N253" s="152" t="s">
        <v>555</v>
      </c>
      <c r="O253" s="142">
        <v>0.357516</v>
      </c>
      <c r="P253" s="143">
        <v>2</v>
      </c>
      <c r="Q253" s="151" t="s">
        <v>37</v>
      </c>
      <c r="R253" s="124"/>
    </row>
    <row r="254" ht="105" hidden="1" spans="1:18">
      <c r="A254" s="56" t="s">
        <v>420</v>
      </c>
      <c r="B254" s="99" t="s">
        <v>158</v>
      </c>
      <c r="C254" s="56" t="s">
        <v>556</v>
      </c>
      <c r="D254" s="56" t="s">
        <v>25</v>
      </c>
      <c r="E254" s="99" t="s">
        <v>200</v>
      </c>
      <c r="F254" s="99">
        <v>4</v>
      </c>
      <c r="G254" s="112">
        <f t="shared" ref="G254:G257" si="16">F254/E254</f>
        <v>0.333333333333333</v>
      </c>
      <c r="H254" s="114" t="s">
        <v>557</v>
      </c>
      <c r="I254" s="122"/>
      <c r="J254" s="119">
        <v>22.7664</v>
      </c>
      <c r="K254" s="99">
        <v>0</v>
      </c>
      <c r="L254" s="56"/>
      <c r="M254" s="101">
        <v>1</v>
      </c>
      <c r="N254" s="120"/>
      <c r="O254" s="120"/>
      <c r="P254" s="37"/>
      <c r="Q254" s="120"/>
      <c r="R254" s="124" t="s">
        <v>38</v>
      </c>
    </row>
    <row r="255" ht="195" hidden="1" spans="1:18">
      <c r="A255" s="56" t="s">
        <v>420</v>
      </c>
      <c r="B255" s="99" t="s">
        <v>30</v>
      </c>
      <c r="C255" s="56" t="s">
        <v>558</v>
      </c>
      <c r="D255" s="56" t="s">
        <v>25</v>
      </c>
      <c r="E255" s="99" t="s">
        <v>538</v>
      </c>
      <c r="F255" s="99" t="s">
        <v>307</v>
      </c>
      <c r="G255" s="112">
        <f t="shared" si="16"/>
        <v>0.514285714285714</v>
      </c>
      <c r="H255" s="114" t="s">
        <v>559</v>
      </c>
      <c r="I255" s="122"/>
      <c r="J255" s="119">
        <v>69.811</v>
      </c>
      <c r="K255" s="99">
        <v>0</v>
      </c>
      <c r="L255" s="56"/>
      <c r="M255" s="101">
        <v>1</v>
      </c>
      <c r="N255" s="120"/>
      <c r="O255" s="120"/>
      <c r="P255" s="37"/>
      <c r="Q255" s="120"/>
      <c r="R255" s="124" t="s">
        <v>453</v>
      </c>
    </row>
    <row r="256" ht="60" hidden="1" spans="1:18">
      <c r="A256" s="56" t="s">
        <v>420</v>
      </c>
      <c r="B256" s="99" t="s">
        <v>158</v>
      </c>
      <c r="C256" s="56" t="s">
        <v>560</v>
      </c>
      <c r="D256" s="56" t="s">
        <v>32</v>
      </c>
      <c r="E256" s="99" t="s">
        <v>189</v>
      </c>
      <c r="F256" s="99">
        <v>2</v>
      </c>
      <c r="G256" s="112">
        <f t="shared" si="16"/>
        <v>0.333333333333333</v>
      </c>
      <c r="H256" s="114" t="s">
        <v>561</v>
      </c>
      <c r="I256" s="122" t="s">
        <v>562</v>
      </c>
      <c r="J256" s="119">
        <v>10.6</v>
      </c>
      <c r="K256" s="99">
        <v>1.5</v>
      </c>
      <c r="L256" s="56" t="s">
        <v>37</v>
      </c>
      <c r="M256" s="150">
        <v>0.87383064354247</v>
      </c>
      <c r="N256" s="120" t="s">
        <v>563</v>
      </c>
      <c r="O256" s="142">
        <v>1.5</v>
      </c>
      <c r="P256" s="143">
        <v>72</v>
      </c>
      <c r="Q256" s="151" t="s">
        <v>37</v>
      </c>
      <c r="R256" s="124" t="s">
        <v>52</v>
      </c>
    </row>
    <row r="257" ht="120" hidden="1" spans="1:18">
      <c r="A257" s="56" t="s">
        <v>420</v>
      </c>
      <c r="B257" s="99" t="s">
        <v>30</v>
      </c>
      <c r="C257" s="56" t="s">
        <v>564</v>
      </c>
      <c r="D257" s="56" t="s">
        <v>25</v>
      </c>
      <c r="E257" s="99" t="s">
        <v>230</v>
      </c>
      <c r="F257" s="99">
        <v>24</v>
      </c>
      <c r="G257" s="112">
        <f t="shared" si="16"/>
        <v>0.705882352941177</v>
      </c>
      <c r="H257" s="114" t="s">
        <v>565</v>
      </c>
      <c r="I257" s="122" t="s">
        <v>566</v>
      </c>
      <c r="J257" s="119">
        <v>60.5</v>
      </c>
      <c r="K257" s="99">
        <v>0</v>
      </c>
      <c r="L257" s="56"/>
      <c r="M257" s="150">
        <v>1</v>
      </c>
      <c r="N257" s="120"/>
      <c r="O257" s="157"/>
      <c r="P257" s="37"/>
      <c r="Q257" s="151"/>
      <c r="R257" s="124" t="s">
        <v>38</v>
      </c>
    </row>
    <row r="258" hidden="1" spans="1:18">
      <c r="A258" s="138" t="s">
        <v>420</v>
      </c>
      <c r="B258" s="138" t="s">
        <v>30</v>
      </c>
      <c r="C258" s="138" t="s">
        <v>567</v>
      </c>
      <c r="D258" s="138" t="s">
        <v>32</v>
      </c>
      <c r="E258" s="138" t="s">
        <v>399</v>
      </c>
      <c r="F258" s="138">
        <v>20</v>
      </c>
      <c r="G258" s="137">
        <v>0.5</v>
      </c>
      <c r="H258" s="138" t="s">
        <v>568</v>
      </c>
      <c r="I258" s="138" t="s">
        <v>569</v>
      </c>
      <c r="J258" s="148">
        <v>65.7</v>
      </c>
      <c r="K258" s="56">
        <v>1.8</v>
      </c>
      <c r="L258" s="56" t="s">
        <v>44</v>
      </c>
      <c r="M258" s="149">
        <v>0.973981009060336</v>
      </c>
      <c r="N258" s="120" t="s">
        <v>570</v>
      </c>
      <c r="O258" s="142">
        <v>1.649163</v>
      </c>
      <c r="P258" s="143">
        <v>1</v>
      </c>
      <c r="Q258" s="151" t="s">
        <v>44</v>
      </c>
      <c r="R258" s="124" t="s">
        <v>38</v>
      </c>
    </row>
    <row r="259" hidden="1" spans="1:18">
      <c r="A259" s="138"/>
      <c r="B259" s="138"/>
      <c r="C259" s="138"/>
      <c r="D259" s="138"/>
      <c r="E259" s="138"/>
      <c r="F259" s="138"/>
      <c r="G259" s="137"/>
      <c r="H259" s="138"/>
      <c r="I259" s="138"/>
      <c r="J259" s="148"/>
      <c r="K259" s="56"/>
      <c r="L259" s="56"/>
      <c r="M259" s="149"/>
      <c r="N259" s="120" t="s">
        <v>571</v>
      </c>
      <c r="O259" s="142">
        <v>0.183594</v>
      </c>
      <c r="P259" s="143">
        <v>1</v>
      </c>
      <c r="Q259" s="151" t="s">
        <v>44</v>
      </c>
      <c r="R259" s="124"/>
    </row>
    <row r="260" hidden="1" spans="1:18">
      <c r="A260" s="138" t="s">
        <v>420</v>
      </c>
      <c r="B260" s="138" t="s">
        <v>30</v>
      </c>
      <c r="C260" s="138" t="s">
        <v>572</v>
      </c>
      <c r="D260" s="138" t="s">
        <v>32</v>
      </c>
      <c r="E260" s="138" t="s">
        <v>486</v>
      </c>
      <c r="F260" s="138" t="s">
        <v>389</v>
      </c>
      <c r="G260" s="137">
        <v>0.473684210526316</v>
      </c>
      <c r="H260" s="138" t="s">
        <v>573</v>
      </c>
      <c r="I260" s="138" t="s">
        <v>574</v>
      </c>
      <c r="J260" s="148">
        <v>40.719076</v>
      </c>
      <c r="K260" s="138">
        <v>8.7</v>
      </c>
      <c r="L260" s="138" t="s">
        <v>37</v>
      </c>
      <c r="M260" s="149">
        <v>0.823954620276591</v>
      </c>
      <c r="N260" s="120" t="s">
        <v>575</v>
      </c>
      <c r="O260" s="142">
        <v>0.963283</v>
      </c>
      <c r="P260" s="143">
        <v>4</v>
      </c>
      <c r="Q260" s="151" t="s">
        <v>37</v>
      </c>
      <c r="R260" s="124" t="s">
        <v>453</v>
      </c>
    </row>
    <row r="261" hidden="1" spans="1:18">
      <c r="A261" s="138"/>
      <c r="B261" s="138"/>
      <c r="C261" s="138"/>
      <c r="D261" s="138"/>
      <c r="E261" s="138"/>
      <c r="F261" s="138"/>
      <c r="G261" s="137"/>
      <c r="H261" s="138"/>
      <c r="I261" s="138"/>
      <c r="J261" s="148"/>
      <c r="K261" s="138"/>
      <c r="L261" s="138"/>
      <c r="M261" s="149"/>
      <c r="N261" s="120" t="s">
        <v>576</v>
      </c>
      <c r="O261" s="142">
        <v>1.128341</v>
      </c>
      <c r="P261" s="143">
        <v>12</v>
      </c>
      <c r="Q261" s="151" t="s">
        <v>37</v>
      </c>
      <c r="R261" s="124"/>
    </row>
    <row r="262" hidden="1" spans="1:18">
      <c r="A262" s="138"/>
      <c r="B262" s="138"/>
      <c r="C262" s="138"/>
      <c r="D262" s="138"/>
      <c r="E262" s="138"/>
      <c r="F262" s="138"/>
      <c r="G262" s="137"/>
      <c r="H262" s="138"/>
      <c r="I262" s="138"/>
      <c r="J262" s="148"/>
      <c r="K262" s="138"/>
      <c r="L262" s="138"/>
      <c r="M262" s="149"/>
      <c r="N262" s="120" t="s">
        <v>577</v>
      </c>
      <c r="O262" s="142">
        <v>0.923934</v>
      </c>
      <c r="P262" s="143">
        <v>1</v>
      </c>
      <c r="Q262" s="151" t="s">
        <v>37</v>
      </c>
      <c r="R262" s="124"/>
    </row>
    <row r="263" hidden="1" spans="1:18">
      <c r="A263" s="138"/>
      <c r="B263" s="138"/>
      <c r="C263" s="138"/>
      <c r="D263" s="138"/>
      <c r="E263" s="138"/>
      <c r="F263" s="138"/>
      <c r="G263" s="137"/>
      <c r="H263" s="138"/>
      <c r="I263" s="138"/>
      <c r="J263" s="148"/>
      <c r="K263" s="138"/>
      <c r="L263" s="138"/>
      <c r="M263" s="149"/>
      <c r="N263" s="120" t="s">
        <v>578</v>
      </c>
      <c r="O263" s="142">
        <v>5.214405</v>
      </c>
      <c r="P263" s="143">
        <v>41</v>
      </c>
      <c r="Q263" s="151" t="s">
        <v>37</v>
      </c>
      <c r="R263" s="124"/>
    </row>
    <row r="264" hidden="1" spans="1:18">
      <c r="A264" s="138"/>
      <c r="B264" s="138"/>
      <c r="C264" s="138"/>
      <c r="D264" s="138"/>
      <c r="E264" s="138"/>
      <c r="F264" s="138"/>
      <c r="G264" s="137"/>
      <c r="H264" s="138"/>
      <c r="I264" s="138"/>
      <c r="J264" s="148"/>
      <c r="K264" s="138"/>
      <c r="L264" s="138"/>
      <c r="M264" s="149"/>
      <c r="N264" s="120" t="s">
        <v>579</v>
      </c>
      <c r="O264" s="142">
        <v>0.473189</v>
      </c>
      <c r="P264" s="143">
        <v>4</v>
      </c>
      <c r="Q264" s="151" t="s">
        <v>37</v>
      </c>
      <c r="R264" s="124"/>
    </row>
    <row r="265" hidden="1" spans="1:18">
      <c r="A265" s="138" t="s">
        <v>420</v>
      </c>
      <c r="B265" s="138" t="s">
        <v>30</v>
      </c>
      <c r="C265" s="138" t="s">
        <v>580</v>
      </c>
      <c r="D265" s="138" t="s">
        <v>32</v>
      </c>
      <c r="E265" s="138" t="s">
        <v>430</v>
      </c>
      <c r="F265" s="138" t="s">
        <v>581</v>
      </c>
      <c r="G265" s="137">
        <v>0.642857142857143</v>
      </c>
      <c r="H265" s="138" t="s">
        <v>582</v>
      </c>
      <c r="I265" s="138" t="s">
        <v>583</v>
      </c>
      <c r="J265" s="148">
        <v>83</v>
      </c>
      <c r="K265" s="138">
        <v>3.5</v>
      </c>
      <c r="L265" s="138" t="s">
        <v>37</v>
      </c>
      <c r="M265" s="149">
        <v>0.95966655587721</v>
      </c>
      <c r="N265" s="120" t="s">
        <v>584</v>
      </c>
      <c r="O265" s="142">
        <v>1.8879</v>
      </c>
      <c r="P265" s="143">
        <v>13</v>
      </c>
      <c r="Q265" s="151" t="s">
        <v>37</v>
      </c>
      <c r="R265" s="124" t="s">
        <v>38</v>
      </c>
    </row>
    <row r="266" hidden="1" spans="1:18">
      <c r="A266" s="138"/>
      <c r="B266" s="138"/>
      <c r="C266" s="138"/>
      <c r="D266" s="138"/>
      <c r="E266" s="138"/>
      <c r="F266" s="138"/>
      <c r="G266" s="137"/>
      <c r="H266" s="138"/>
      <c r="I266" s="138"/>
      <c r="J266" s="148"/>
      <c r="K266" s="138"/>
      <c r="L266" s="138"/>
      <c r="M266" s="149"/>
      <c r="N266" s="120" t="s">
        <v>585</v>
      </c>
      <c r="O266" s="142">
        <v>1.610805</v>
      </c>
      <c r="P266" s="143">
        <v>3</v>
      </c>
      <c r="Q266" s="151" t="s">
        <v>37</v>
      </c>
      <c r="R266" s="124"/>
    </row>
    <row r="267" hidden="1" spans="1:18">
      <c r="A267" s="138" t="s">
        <v>420</v>
      </c>
      <c r="B267" s="138" t="s">
        <v>30</v>
      </c>
      <c r="C267" s="138" t="s">
        <v>586</v>
      </c>
      <c r="D267" s="138" t="s">
        <v>32</v>
      </c>
      <c r="E267" s="138" t="s">
        <v>266</v>
      </c>
      <c r="F267" s="138" t="s">
        <v>179</v>
      </c>
      <c r="G267" s="137">
        <v>0.363636363636364</v>
      </c>
      <c r="H267" s="138" t="s">
        <v>587</v>
      </c>
      <c r="I267" s="138" t="s">
        <v>588</v>
      </c>
      <c r="J267" s="148">
        <v>34.1</v>
      </c>
      <c r="K267" s="138">
        <v>4.8</v>
      </c>
      <c r="L267" s="138" t="s">
        <v>381</v>
      </c>
      <c r="M267" s="149">
        <v>0.877710071411624</v>
      </c>
      <c r="N267" s="120" t="s">
        <v>589</v>
      </c>
      <c r="O267" s="142">
        <v>2.661115</v>
      </c>
      <c r="P267" s="143">
        <v>1</v>
      </c>
      <c r="Q267" s="151" t="s">
        <v>44</v>
      </c>
      <c r="R267" s="124" t="s">
        <v>38</v>
      </c>
    </row>
    <row r="268" hidden="1" spans="1:18">
      <c r="A268" s="138"/>
      <c r="B268" s="138"/>
      <c r="C268" s="138"/>
      <c r="D268" s="138"/>
      <c r="E268" s="138"/>
      <c r="F268" s="138"/>
      <c r="G268" s="137"/>
      <c r="H268" s="138"/>
      <c r="I268" s="138"/>
      <c r="J268" s="148"/>
      <c r="K268" s="138"/>
      <c r="L268" s="138"/>
      <c r="M268" s="149"/>
      <c r="N268" s="120" t="s">
        <v>590</v>
      </c>
      <c r="O268" s="142">
        <v>0.412959</v>
      </c>
      <c r="P268" s="143">
        <v>18</v>
      </c>
      <c r="Q268" s="151" t="s">
        <v>37</v>
      </c>
      <c r="R268" s="124"/>
    </row>
    <row r="269" hidden="1" spans="1:18">
      <c r="A269" s="138"/>
      <c r="B269" s="138"/>
      <c r="C269" s="138"/>
      <c r="D269" s="138"/>
      <c r="E269" s="138"/>
      <c r="F269" s="138"/>
      <c r="G269" s="137"/>
      <c r="H269" s="138"/>
      <c r="I269" s="138"/>
      <c r="J269" s="148"/>
      <c r="K269" s="138"/>
      <c r="L269" s="138"/>
      <c r="M269" s="149"/>
      <c r="N269" s="120" t="s">
        <v>591</v>
      </c>
      <c r="O269" s="142">
        <v>1.718277</v>
      </c>
      <c r="P269" s="143">
        <v>1</v>
      </c>
      <c r="Q269" s="151" t="s">
        <v>44</v>
      </c>
      <c r="R269" s="124"/>
    </row>
    <row r="270" hidden="1" spans="1:18">
      <c r="A270" s="138" t="s">
        <v>420</v>
      </c>
      <c r="B270" s="138" t="s">
        <v>30</v>
      </c>
      <c r="C270" s="138" t="s">
        <v>592</v>
      </c>
      <c r="D270" s="138" t="s">
        <v>32</v>
      </c>
      <c r="E270" s="138" t="s">
        <v>416</v>
      </c>
      <c r="F270" s="138" t="s">
        <v>200</v>
      </c>
      <c r="G270" s="137">
        <v>0.428571428571429</v>
      </c>
      <c r="H270" s="138" t="s">
        <v>593</v>
      </c>
      <c r="I270" s="138" t="s">
        <v>594</v>
      </c>
      <c r="J270" s="148">
        <v>52</v>
      </c>
      <c r="K270" s="138">
        <v>7.8</v>
      </c>
      <c r="L270" s="138" t="s">
        <v>37</v>
      </c>
      <c r="M270" s="149">
        <v>0.869230868755132</v>
      </c>
      <c r="N270" s="120" t="s">
        <v>595</v>
      </c>
      <c r="O270" s="142">
        <v>1.129324</v>
      </c>
      <c r="P270" s="143">
        <v>27</v>
      </c>
      <c r="Q270" s="151" t="s">
        <v>37</v>
      </c>
      <c r="R270" s="124" t="s">
        <v>38</v>
      </c>
    </row>
    <row r="271" hidden="1" spans="1:18">
      <c r="A271" s="138"/>
      <c r="B271" s="138"/>
      <c r="C271" s="138"/>
      <c r="D271" s="138"/>
      <c r="E271" s="138"/>
      <c r="F271" s="138"/>
      <c r="G271" s="137"/>
      <c r="H271" s="138"/>
      <c r="I271" s="138"/>
      <c r="J271" s="148"/>
      <c r="K271" s="138"/>
      <c r="L271" s="138"/>
      <c r="M271" s="149"/>
      <c r="N271" s="120" t="s">
        <v>596</v>
      </c>
      <c r="O271" s="142">
        <v>4.547736</v>
      </c>
      <c r="P271" s="143">
        <v>52</v>
      </c>
      <c r="Q271" s="151" t="s">
        <v>37</v>
      </c>
      <c r="R271" s="124"/>
    </row>
    <row r="272" hidden="1" spans="1:18">
      <c r="A272" s="138"/>
      <c r="B272" s="138"/>
      <c r="C272" s="138"/>
      <c r="D272" s="138"/>
      <c r="E272" s="138"/>
      <c r="F272" s="138"/>
      <c r="G272" s="137"/>
      <c r="H272" s="138"/>
      <c r="I272" s="138"/>
      <c r="J272" s="148"/>
      <c r="K272" s="138"/>
      <c r="L272" s="138"/>
      <c r="M272" s="149"/>
      <c r="N272" s="120" t="s">
        <v>597</v>
      </c>
      <c r="O272" s="142">
        <v>2.197768</v>
      </c>
      <c r="P272" s="143">
        <v>24</v>
      </c>
      <c r="Q272" s="151" t="s">
        <v>37</v>
      </c>
      <c r="R272" s="124"/>
    </row>
    <row r="273" ht="135" hidden="1" spans="1:18">
      <c r="A273" s="56" t="s">
        <v>420</v>
      </c>
      <c r="B273" s="99" t="s">
        <v>30</v>
      </c>
      <c r="C273" s="56" t="s">
        <v>598</v>
      </c>
      <c r="D273" s="56" t="s">
        <v>25</v>
      </c>
      <c r="E273" s="99" t="s">
        <v>416</v>
      </c>
      <c r="F273" s="99">
        <v>18</v>
      </c>
      <c r="G273" s="112">
        <f>F273/E273</f>
        <v>0.642857142857143</v>
      </c>
      <c r="H273" s="114" t="s">
        <v>599</v>
      </c>
      <c r="I273" s="122"/>
      <c r="J273" s="119">
        <v>43.918999</v>
      </c>
      <c r="K273" s="99">
        <v>0</v>
      </c>
      <c r="L273" s="56"/>
      <c r="M273" s="101">
        <v>1</v>
      </c>
      <c r="N273" s="120"/>
      <c r="O273" s="120"/>
      <c r="P273" s="37"/>
      <c r="Q273" s="120"/>
      <c r="R273" s="124" t="s">
        <v>38</v>
      </c>
    </row>
    <row r="274" ht="135" hidden="1" spans="1:18">
      <c r="A274" s="56" t="s">
        <v>420</v>
      </c>
      <c r="B274" s="99" t="s">
        <v>158</v>
      </c>
      <c r="C274" s="56" t="s">
        <v>600</v>
      </c>
      <c r="D274" s="56" t="s">
        <v>32</v>
      </c>
      <c r="E274" s="99" t="s">
        <v>204</v>
      </c>
      <c r="F274" s="99" t="s">
        <v>282</v>
      </c>
      <c r="G274" s="112">
        <f>F274/E274</f>
        <v>0.571428571428571</v>
      </c>
      <c r="H274" s="114" t="s">
        <v>601</v>
      </c>
      <c r="I274" s="122" t="s">
        <v>602</v>
      </c>
      <c r="J274" s="119">
        <v>10.2</v>
      </c>
      <c r="K274" s="99">
        <v>0.8</v>
      </c>
      <c r="L274" s="56" t="s">
        <v>37</v>
      </c>
      <c r="M274" s="101">
        <v>0.927</v>
      </c>
      <c r="N274" s="124" t="s">
        <v>603</v>
      </c>
      <c r="O274" s="124">
        <v>0.8</v>
      </c>
      <c r="P274" s="45">
        <v>6</v>
      </c>
      <c r="Q274" s="124" t="s">
        <v>37</v>
      </c>
      <c r="R274" s="124" t="s">
        <v>52</v>
      </c>
    </row>
    <row r="275" hidden="1" spans="1:18">
      <c r="A275" s="138" t="s">
        <v>420</v>
      </c>
      <c r="B275" s="138" t="s">
        <v>158</v>
      </c>
      <c r="C275" s="138" t="s">
        <v>604</v>
      </c>
      <c r="D275" s="138" t="s">
        <v>32</v>
      </c>
      <c r="E275" s="138">
        <v>7</v>
      </c>
      <c r="F275" s="138" t="s">
        <v>276</v>
      </c>
      <c r="G275" s="137">
        <v>0</v>
      </c>
      <c r="H275" s="138" t="s">
        <v>605</v>
      </c>
      <c r="I275" s="138" t="s">
        <v>606</v>
      </c>
      <c r="J275" s="148">
        <v>0</v>
      </c>
      <c r="K275" s="56">
        <v>5.6</v>
      </c>
      <c r="L275" s="56" t="s">
        <v>381</v>
      </c>
      <c r="M275" s="149">
        <v>0</v>
      </c>
      <c r="N275" s="152" t="s">
        <v>607</v>
      </c>
      <c r="O275" s="142">
        <v>2.5344</v>
      </c>
      <c r="P275" s="143">
        <v>37</v>
      </c>
      <c r="Q275" s="151" t="s">
        <v>37</v>
      </c>
      <c r="R275" s="124" t="s">
        <v>38</v>
      </c>
    </row>
    <row r="276" hidden="1" spans="1:18">
      <c r="A276" s="138"/>
      <c r="B276" s="138"/>
      <c r="C276" s="138"/>
      <c r="D276" s="138"/>
      <c r="E276" s="138"/>
      <c r="F276" s="138"/>
      <c r="G276" s="137"/>
      <c r="H276" s="138"/>
      <c r="I276" s="138"/>
      <c r="J276" s="148"/>
      <c r="K276" s="56"/>
      <c r="L276" s="56"/>
      <c r="M276" s="149"/>
      <c r="N276" s="158" t="s">
        <v>608</v>
      </c>
      <c r="O276" s="142">
        <v>0</v>
      </c>
      <c r="P276" s="143">
        <v>0</v>
      </c>
      <c r="Q276" s="151" t="s">
        <v>37</v>
      </c>
      <c r="R276" s="124"/>
    </row>
    <row r="277" ht="14.5" hidden="1" spans="1:18">
      <c r="A277" s="138"/>
      <c r="B277" s="138"/>
      <c r="C277" s="138"/>
      <c r="D277" s="138"/>
      <c r="E277" s="138"/>
      <c r="F277" s="138"/>
      <c r="G277" s="137"/>
      <c r="H277" s="138"/>
      <c r="I277" s="138"/>
      <c r="J277" s="148"/>
      <c r="K277" s="56"/>
      <c r="L277" s="56"/>
      <c r="M277" s="149"/>
      <c r="N277" s="158" t="s">
        <v>609</v>
      </c>
      <c r="O277" s="142">
        <v>0</v>
      </c>
      <c r="P277" s="143">
        <v>1</v>
      </c>
      <c r="Q277" s="151" t="s">
        <v>44</v>
      </c>
      <c r="R277" s="124"/>
    </row>
    <row r="278" ht="14.5" hidden="1" spans="1:18">
      <c r="A278" s="138"/>
      <c r="B278" s="138"/>
      <c r="C278" s="138"/>
      <c r="D278" s="138"/>
      <c r="E278" s="138"/>
      <c r="F278" s="138"/>
      <c r="G278" s="137"/>
      <c r="H278" s="138"/>
      <c r="I278" s="138"/>
      <c r="J278" s="148"/>
      <c r="K278" s="56"/>
      <c r="L278" s="56"/>
      <c r="M278" s="149"/>
      <c r="N278" s="158" t="s">
        <v>610</v>
      </c>
      <c r="O278" s="142">
        <v>0</v>
      </c>
      <c r="P278" s="143">
        <v>1</v>
      </c>
      <c r="Q278" s="151" t="s">
        <v>44</v>
      </c>
      <c r="R278" s="124"/>
    </row>
    <row r="279" hidden="1" spans="1:18">
      <c r="A279" s="138"/>
      <c r="B279" s="138"/>
      <c r="C279" s="138"/>
      <c r="D279" s="138"/>
      <c r="E279" s="138"/>
      <c r="F279" s="138"/>
      <c r="G279" s="137"/>
      <c r="H279" s="138"/>
      <c r="I279" s="138"/>
      <c r="J279" s="148"/>
      <c r="K279" s="56"/>
      <c r="L279" s="56"/>
      <c r="M279" s="149"/>
      <c r="N279" s="152" t="s">
        <v>611</v>
      </c>
      <c r="O279" s="142">
        <v>3.0218</v>
      </c>
      <c r="P279" s="143">
        <v>35</v>
      </c>
      <c r="Q279" s="151" t="s">
        <v>37</v>
      </c>
      <c r="R279" s="124"/>
    </row>
    <row r="280" hidden="1" spans="1:18">
      <c r="A280" s="138"/>
      <c r="B280" s="138"/>
      <c r="C280" s="138"/>
      <c r="D280" s="138"/>
      <c r="E280" s="138"/>
      <c r="F280" s="138"/>
      <c r="G280" s="137"/>
      <c r="H280" s="138"/>
      <c r="I280" s="138"/>
      <c r="J280" s="148"/>
      <c r="K280" s="56"/>
      <c r="L280" s="56"/>
      <c r="M280" s="149"/>
      <c r="N280" s="152" t="s">
        <v>612</v>
      </c>
      <c r="O280" s="142">
        <v>0.0158</v>
      </c>
      <c r="P280" s="143">
        <v>35</v>
      </c>
      <c r="Q280" s="151" t="s">
        <v>37</v>
      </c>
      <c r="R280" s="124"/>
    </row>
    <row r="281" hidden="1" spans="1:18">
      <c r="A281" s="138"/>
      <c r="B281" s="138"/>
      <c r="C281" s="138"/>
      <c r="D281" s="138"/>
      <c r="E281" s="138"/>
      <c r="F281" s="138"/>
      <c r="G281" s="137"/>
      <c r="H281" s="138"/>
      <c r="I281" s="138"/>
      <c r="J281" s="148"/>
      <c r="K281" s="56"/>
      <c r="L281" s="56"/>
      <c r="M281" s="149"/>
      <c r="N281" s="158" t="s">
        <v>613</v>
      </c>
      <c r="O281" s="142">
        <v>0</v>
      </c>
      <c r="P281" s="143">
        <v>1</v>
      </c>
      <c r="Q281" s="151" t="s">
        <v>44</v>
      </c>
      <c r="R281" s="124"/>
    </row>
    <row r="282" hidden="1" spans="1:18">
      <c r="A282" s="138" t="s">
        <v>420</v>
      </c>
      <c r="B282" s="138" t="s">
        <v>30</v>
      </c>
      <c r="C282" s="138" t="s">
        <v>614</v>
      </c>
      <c r="D282" s="138" t="s">
        <v>32</v>
      </c>
      <c r="E282" s="138" t="s">
        <v>247</v>
      </c>
      <c r="F282" s="138" t="s">
        <v>176</v>
      </c>
      <c r="G282" s="137">
        <v>0.476190476190476</v>
      </c>
      <c r="H282" s="138" t="s">
        <v>615</v>
      </c>
      <c r="I282" s="138" t="s">
        <v>616</v>
      </c>
      <c r="J282" s="148">
        <v>37.5</v>
      </c>
      <c r="K282" s="138">
        <v>4.3</v>
      </c>
      <c r="L282" s="138" t="s">
        <v>381</v>
      </c>
      <c r="M282" s="149">
        <v>0.897730537201954</v>
      </c>
      <c r="N282" s="120" t="s">
        <v>617</v>
      </c>
      <c r="O282" s="142">
        <v>1.59</v>
      </c>
      <c r="P282" s="143">
        <v>7</v>
      </c>
      <c r="Q282" s="151" t="s">
        <v>37</v>
      </c>
      <c r="R282" s="124" t="s">
        <v>453</v>
      </c>
    </row>
    <row r="283" hidden="1" spans="1:18">
      <c r="A283" s="138"/>
      <c r="B283" s="138"/>
      <c r="C283" s="138"/>
      <c r="D283" s="138"/>
      <c r="E283" s="138"/>
      <c r="F283" s="138"/>
      <c r="G283" s="137"/>
      <c r="H283" s="138"/>
      <c r="I283" s="138"/>
      <c r="J283" s="148"/>
      <c r="K283" s="138"/>
      <c r="L283" s="138"/>
      <c r="M283" s="149"/>
      <c r="N283" s="120" t="s">
        <v>618</v>
      </c>
      <c r="O283" s="142">
        <v>1.92</v>
      </c>
      <c r="P283" s="143">
        <v>35</v>
      </c>
      <c r="Q283" s="151" t="s">
        <v>37</v>
      </c>
      <c r="R283" s="124"/>
    </row>
    <row r="284" hidden="1" spans="1:18">
      <c r="A284" s="138"/>
      <c r="B284" s="138"/>
      <c r="C284" s="138"/>
      <c r="D284" s="138"/>
      <c r="E284" s="138"/>
      <c r="F284" s="138"/>
      <c r="G284" s="137"/>
      <c r="H284" s="138"/>
      <c r="I284" s="138"/>
      <c r="J284" s="148"/>
      <c r="K284" s="138"/>
      <c r="L284" s="138"/>
      <c r="M284" s="149"/>
      <c r="N284" s="120" t="s">
        <v>619</v>
      </c>
      <c r="O284" s="142">
        <v>0.866</v>
      </c>
      <c r="P284" s="143">
        <v>1</v>
      </c>
      <c r="Q284" s="151" t="s">
        <v>44</v>
      </c>
      <c r="R284" s="124"/>
    </row>
    <row r="285" hidden="1" spans="1:18">
      <c r="A285" s="138" t="s">
        <v>420</v>
      </c>
      <c r="B285" s="138" t="s">
        <v>30</v>
      </c>
      <c r="C285" s="138" t="s">
        <v>620</v>
      </c>
      <c r="D285" s="138" t="s">
        <v>32</v>
      </c>
      <c r="E285" s="138" t="s">
        <v>431</v>
      </c>
      <c r="F285" s="138" t="s">
        <v>324</v>
      </c>
      <c r="G285" s="137">
        <v>0.40625</v>
      </c>
      <c r="H285" s="138" t="s">
        <v>621</v>
      </c>
      <c r="I285" s="138" t="s">
        <v>622</v>
      </c>
      <c r="J285" s="148">
        <v>42.8</v>
      </c>
      <c r="K285" s="138">
        <v>5.3</v>
      </c>
      <c r="L285" s="138" t="s">
        <v>381</v>
      </c>
      <c r="M285" s="149">
        <v>0.889214620300579</v>
      </c>
      <c r="N285" s="120" t="s">
        <v>623</v>
      </c>
      <c r="O285" s="142">
        <v>3.065308</v>
      </c>
      <c r="P285" s="143">
        <v>33</v>
      </c>
      <c r="Q285" s="151" t="s">
        <v>37</v>
      </c>
      <c r="R285" s="124" t="s">
        <v>453</v>
      </c>
    </row>
    <row r="286" hidden="1" spans="1:18">
      <c r="A286" s="138"/>
      <c r="B286" s="138"/>
      <c r="C286" s="138"/>
      <c r="D286" s="138"/>
      <c r="E286" s="138"/>
      <c r="F286" s="138"/>
      <c r="G286" s="137"/>
      <c r="H286" s="138"/>
      <c r="I286" s="138"/>
      <c r="J286" s="148"/>
      <c r="K286" s="138"/>
      <c r="L286" s="138"/>
      <c r="M286" s="149"/>
      <c r="N286" s="120" t="s">
        <v>624</v>
      </c>
      <c r="O286" s="142">
        <v>2.027304</v>
      </c>
      <c r="P286" s="143">
        <v>24</v>
      </c>
      <c r="Q286" s="151" t="s">
        <v>37</v>
      </c>
      <c r="R286" s="124"/>
    </row>
    <row r="287" hidden="1" spans="1:18">
      <c r="A287" s="138"/>
      <c r="B287" s="138"/>
      <c r="C287" s="138"/>
      <c r="D287" s="138"/>
      <c r="E287" s="138"/>
      <c r="F287" s="138"/>
      <c r="G287" s="137"/>
      <c r="H287" s="138"/>
      <c r="I287" s="138"/>
      <c r="J287" s="148"/>
      <c r="K287" s="138"/>
      <c r="L287" s="138"/>
      <c r="M287" s="149"/>
      <c r="N287" s="120" t="s">
        <v>625</v>
      </c>
      <c r="O287" s="142">
        <v>0.24111</v>
      </c>
      <c r="P287" s="143">
        <v>1</v>
      </c>
      <c r="Q287" s="151" t="s">
        <v>44</v>
      </c>
      <c r="R287" s="124"/>
    </row>
    <row r="288" hidden="1" spans="1:18">
      <c r="A288" s="138" t="s">
        <v>420</v>
      </c>
      <c r="B288" s="138" t="s">
        <v>158</v>
      </c>
      <c r="C288" s="138" t="s">
        <v>626</v>
      </c>
      <c r="D288" s="138" t="s">
        <v>32</v>
      </c>
      <c r="E288" s="138" t="s">
        <v>204</v>
      </c>
      <c r="F288" s="138" t="s">
        <v>311</v>
      </c>
      <c r="G288" s="137">
        <f>F288/E288</f>
        <v>0.142857142857143</v>
      </c>
      <c r="H288" s="138" t="s">
        <v>627</v>
      </c>
      <c r="I288" s="138" t="s">
        <v>628</v>
      </c>
      <c r="J288" s="148">
        <v>7.1</v>
      </c>
      <c r="K288" s="138">
        <v>14.7</v>
      </c>
      <c r="L288" s="138" t="s">
        <v>37</v>
      </c>
      <c r="M288" s="149">
        <v>0.326091948743857</v>
      </c>
      <c r="N288" s="120" t="s">
        <v>629</v>
      </c>
      <c r="O288" s="142">
        <v>3.317</v>
      </c>
      <c r="P288" s="143">
        <v>42</v>
      </c>
      <c r="Q288" s="151" t="s">
        <v>37</v>
      </c>
      <c r="R288" s="124" t="s">
        <v>52</v>
      </c>
    </row>
    <row r="289" hidden="1" spans="1:18">
      <c r="A289" s="138"/>
      <c r="B289" s="138"/>
      <c r="C289" s="138"/>
      <c r="D289" s="138"/>
      <c r="E289" s="138"/>
      <c r="F289" s="138"/>
      <c r="G289" s="137"/>
      <c r="H289" s="138"/>
      <c r="I289" s="138"/>
      <c r="J289" s="148"/>
      <c r="K289" s="138"/>
      <c r="L289" s="138"/>
      <c r="M289" s="149"/>
      <c r="N289" s="120" t="s">
        <v>630</v>
      </c>
      <c r="O289" s="142">
        <v>3.521</v>
      </c>
      <c r="P289" s="143">
        <v>32</v>
      </c>
      <c r="Q289" s="151" t="s">
        <v>37</v>
      </c>
      <c r="R289" s="124"/>
    </row>
    <row r="290" hidden="1" spans="1:18">
      <c r="A290" s="138"/>
      <c r="B290" s="138"/>
      <c r="C290" s="138"/>
      <c r="D290" s="138"/>
      <c r="E290" s="138"/>
      <c r="F290" s="138"/>
      <c r="G290" s="137"/>
      <c r="H290" s="138"/>
      <c r="I290" s="138"/>
      <c r="J290" s="148"/>
      <c r="K290" s="138"/>
      <c r="L290" s="138"/>
      <c r="M290" s="149"/>
      <c r="N290" s="152" t="s">
        <v>631</v>
      </c>
      <c r="O290" s="142">
        <v>3.204</v>
      </c>
      <c r="P290" s="143">
        <v>49</v>
      </c>
      <c r="Q290" s="151" t="s">
        <v>37</v>
      </c>
      <c r="R290" s="124"/>
    </row>
    <row r="291" hidden="1" spans="1:18">
      <c r="A291" s="138"/>
      <c r="B291" s="138"/>
      <c r="C291" s="138"/>
      <c r="D291" s="138"/>
      <c r="E291" s="138"/>
      <c r="F291" s="138"/>
      <c r="G291" s="137"/>
      <c r="H291" s="138"/>
      <c r="I291" s="138"/>
      <c r="J291" s="148"/>
      <c r="K291" s="138"/>
      <c r="L291" s="138"/>
      <c r="M291" s="149"/>
      <c r="N291" s="152" t="s">
        <v>632</v>
      </c>
      <c r="O291" s="142">
        <v>2.629</v>
      </c>
      <c r="P291" s="143">
        <v>30</v>
      </c>
      <c r="Q291" s="151" t="s">
        <v>37</v>
      </c>
      <c r="R291" s="124"/>
    </row>
    <row r="292" hidden="1" spans="1:18">
      <c r="A292" s="138"/>
      <c r="B292" s="138"/>
      <c r="C292" s="138"/>
      <c r="D292" s="138"/>
      <c r="E292" s="138"/>
      <c r="F292" s="138"/>
      <c r="G292" s="137"/>
      <c r="H292" s="138"/>
      <c r="I292" s="138"/>
      <c r="J292" s="148"/>
      <c r="K292" s="138"/>
      <c r="L292" s="138"/>
      <c r="M292" s="149"/>
      <c r="N292" s="152" t="s">
        <v>633</v>
      </c>
      <c r="O292" s="142">
        <v>2.05</v>
      </c>
      <c r="P292" s="143">
        <v>32</v>
      </c>
      <c r="Q292" s="151" t="s">
        <v>37</v>
      </c>
      <c r="R292" s="124"/>
    </row>
    <row r="293" ht="165" hidden="1" spans="1:18">
      <c r="A293" s="56" t="s">
        <v>420</v>
      </c>
      <c r="B293" s="99" t="s">
        <v>30</v>
      </c>
      <c r="C293" s="56" t="s">
        <v>634</v>
      </c>
      <c r="D293" s="56" t="s">
        <v>25</v>
      </c>
      <c r="E293" s="99" t="s">
        <v>230</v>
      </c>
      <c r="F293" s="99" t="s">
        <v>247</v>
      </c>
      <c r="G293" s="112">
        <f t="shared" ref="G293:G295" si="17">F293/E293</f>
        <v>0.617647058823529</v>
      </c>
      <c r="H293" s="114" t="s">
        <v>635</v>
      </c>
      <c r="I293" s="122"/>
      <c r="J293" s="119">
        <v>50.482587</v>
      </c>
      <c r="K293" s="99">
        <v>0</v>
      </c>
      <c r="L293" s="56"/>
      <c r="M293" s="101">
        <v>1</v>
      </c>
      <c r="N293" s="120"/>
      <c r="O293" s="120"/>
      <c r="P293" s="120"/>
      <c r="Q293" s="120"/>
      <c r="R293" s="124" t="s">
        <v>453</v>
      </c>
    </row>
    <row r="294" ht="105" hidden="1" spans="1:18">
      <c r="A294" s="56" t="s">
        <v>420</v>
      </c>
      <c r="B294" s="99" t="s">
        <v>30</v>
      </c>
      <c r="C294" s="56" t="s">
        <v>636</v>
      </c>
      <c r="D294" s="56" t="s">
        <v>25</v>
      </c>
      <c r="E294" s="99" t="s">
        <v>222</v>
      </c>
      <c r="F294" s="99">
        <v>10</v>
      </c>
      <c r="G294" s="112">
        <f t="shared" si="17"/>
        <v>0.625</v>
      </c>
      <c r="H294" s="114" t="s">
        <v>637</v>
      </c>
      <c r="I294" s="122"/>
      <c r="J294" s="119">
        <v>24.520934</v>
      </c>
      <c r="K294" s="99">
        <v>0</v>
      </c>
      <c r="L294" s="56"/>
      <c r="M294" s="101">
        <v>1</v>
      </c>
      <c r="N294" s="120"/>
      <c r="O294" s="120"/>
      <c r="P294" s="120"/>
      <c r="Q294" s="120"/>
      <c r="R294" s="124" t="s">
        <v>52</v>
      </c>
    </row>
    <row r="295" ht="150" hidden="1" spans="1:18">
      <c r="A295" s="56" t="s">
        <v>420</v>
      </c>
      <c r="B295" s="99" t="s">
        <v>30</v>
      </c>
      <c r="C295" s="56" t="s">
        <v>638</v>
      </c>
      <c r="D295" s="56" t="s">
        <v>25</v>
      </c>
      <c r="E295" s="99" t="s">
        <v>193</v>
      </c>
      <c r="F295" s="99" t="s">
        <v>200</v>
      </c>
      <c r="G295" s="112">
        <f t="shared" si="17"/>
        <v>0.6</v>
      </c>
      <c r="H295" s="114" t="s">
        <v>639</v>
      </c>
      <c r="I295" s="122"/>
      <c r="J295" s="119">
        <v>36.076994</v>
      </c>
      <c r="K295" s="99">
        <v>0</v>
      </c>
      <c r="L295" s="56"/>
      <c r="M295" s="101">
        <v>1</v>
      </c>
      <c r="N295" s="120"/>
      <c r="O295" s="120"/>
      <c r="P295" s="120"/>
      <c r="Q295" s="120"/>
      <c r="R295" s="124" t="s">
        <v>38</v>
      </c>
    </row>
    <row r="296" hidden="1" spans="1:18">
      <c r="A296" s="138" t="s">
        <v>420</v>
      </c>
      <c r="B296" s="138" t="s">
        <v>30</v>
      </c>
      <c r="C296" s="138" t="s">
        <v>640</v>
      </c>
      <c r="D296" s="138" t="s">
        <v>32</v>
      </c>
      <c r="E296" s="138" t="s">
        <v>324</v>
      </c>
      <c r="F296" s="138">
        <v>2</v>
      </c>
      <c r="G296" s="137">
        <v>0.153846153846154</v>
      </c>
      <c r="H296" s="138" t="s">
        <v>641</v>
      </c>
      <c r="I296" s="138" t="s">
        <v>642</v>
      </c>
      <c r="J296" s="148">
        <v>12.4</v>
      </c>
      <c r="K296" s="56">
        <v>2.6</v>
      </c>
      <c r="L296" s="56" t="s">
        <v>37</v>
      </c>
      <c r="M296" s="149">
        <v>0.829211516811762</v>
      </c>
      <c r="N296" s="120" t="s">
        <v>643</v>
      </c>
      <c r="O296" s="142">
        <v>1.951997</v>
      </c>
      <c r="P296" s="143">
        <v>85</v>
      </c>
      <c r="Q296" s="151" t="s">
        <v>37</v>
      </c>
      <c r="R296" s="124" t="s">
        <v>38</v>
      </c>
    </row>
    <row r="297" hidden="1" spans="1:18">
      <c r="A297" s="138"/>
      <c r="B297" s="138"/>
      <c r="C297" s="138"/>
      <c r="D297" s="138"/>
      <c r="E297" s="138"/>
      <c r="F297" s="138"/>
      <c r="G297" s="137"/>
      <c r="H297" s="138"/>
      <c r="I297" s="138"/>
      <c r="J297" s="148"/>
      <c r="K297" s="56"/>
      <c r="L297" s="56"/>
      <c r="M297" s="149"/>
      <c r="N297" s="120" t="s">
        <v>644</v>
      </c>
      <c r="O297" s="142">
        <v>0.606298</v>
      </c>
      <c r="P297" s="143">
        <v>6</v>
      </c>
      <c r="Q297" s="151" t="s">
        <v>37</v>
      </c>
      <c r="R297" s="124"/>
    </row>
    <row r="298" ht="90" hidden="1" spans="1:18">
      <c r="A298" s="56" t="s">
        <v>420</v>
      </c>
      <c r="B298" s="99" t="s">
        <v>30</v>
      </c>
      <c r="C298" s="56" t="s">
        <v>645</v>
      </c>
      <c r="D298" s="56" t="s">
        <v>25</v>
      </c>
      <c r="E298" s="99" t="s">
        <v>646</v>
      </c>
      <c r="F298" s="99" t="s">
        <v>307</v>
      </c>
      <c r="G298" s="112">
        <f>F298/E298</f>
        <v>0.72</v>
      </c>
      <c r="H298" s="114" t="s">
        <v>647</v>
      </c>
      <c r="I298" s="122"/>
      <c r="J298" s="119">
        <v>60.352</v>
      </c>
      <c r="K298" s="99">
        <v>0</v>
      </c>
      <c r="L298" s="56"/>
      <c r="M298" s="101">
        <v>1</v>
      </c>
      <c r="N298" s="120"/>
      <c r="O298" s="120"/>
      <c r="P298" s="120"/>
      <c r="Q298" s="120"/>
      <c r="R298" s="124" t="s">
        <v>453</v>
      </c>
    </row>
    <row r="299" hidden="1" spans="1:18">
      <c r="A299" s="138" t="s">
        <v>420</v>
      </c>
      <c r="B299" s="138" t="s">
        <v>23</v>
      </c>
      <c r="C299" s="138" t="s">
        <v>648</v>
      </c>
      <c r="D299" s="138" t="s">
        <v>32</v>
      </c>
      <c r="E299" s="138" t="s">
        <v>230</v>
      </c>
      <c r="F299" s="138" t="s">
        <v>222</v>
      </c>
      <c r="G299" s="137">
        <v>0.470588235294118</v>
      </c>
      <c r="H299" s="138" t="s">
        <v>649</v>
      </c>
      <c r="I299" s="138" t="s">
        <v>650</v>
      </c>
      <c r="J299" s="148">
        <v>52</v>
      </c>
      <c r="K299" s="56">
        <v>3.8</v>
      </c>
      <c r="L299" s="56" t="s">
        <v>381</v>
      </c>
      <c r="M299" s="149">
        <v>0.931963108598793</v>
      </c>
      <c r="N299" s="120" t="s">
        <v>651</v>
      </c>
      <c r="O299" s="142">
        <v>1.0032</v>
      </c>
      <c r="P299" s="143">
        <v>8</v>
      </c>
      <c r="Q299" s="151" t="s">
        <v>37</v>
      </c>
      <c r="R299" s="124" t="s">
        <v>38</v>
      </c>
    </row>
    <row r="300" hidden="1" spans="1:18">
      <c r="A300" s="138"/>
      <c r="B300" s="138"/>
      <c r="C300" s="138"/>
      <c r="D300" s="138"/>
      <c r="E300" s="138"/>
      <c r="F300" s="138"/>
      <c r="G300" s="137"/>
      <c r="H300" s="138"/>
      <c r="I300" s="138"/>
      <c r="J300" s="148"/>
      <c r="K300" s="56"/>
      <c r="L300" s="56"/>
      <c r="M300" s="149"/>
      <c r="N300" s="120" t="s">
        <v>652</v>
      </c>
      <c r="O300" s="142">
        <v>2.7616</v>
      </c>
      <c r="P300" s="143">
        <v>1</v>
      </c>
      <c r="Q300" s="151" t="s">
        <v>44</v>
      </c>
      <c r="R300" s="124"/>
    </row>
    <row r="301" hidden="1" spans="1:18">
      <c r="A301" s="138" t="s">
        <v>420</v>
      </c>
      <c r="B301" s="138" t="s">
        <v>23</v>
      </c>
      <c r="C301" s="138" t="s">
        <v>653</v>
      </c>
      <c r="D301" s="138" t="s">
        <v>32</v>
      </c>
      <c r="E301" s="138">
        <v>41</v>
      </c>
      <c r="F301" s="138">
        <v>31</v>
      </c>
      <c r="G301" s="137">
        <v>0.75609756097561</v>
      </c>
      <c r="H301" s="138" t="s">
        <v>654</v>
      </c>
      <c r="I301" s="138" t="s">
        <v>655</v>
      </c>
      <c r="J301" s="148">
        <v>89.568035</v>
      </c>
      <c r="K301" s="138">
        <v>11.4</v>
      </c>
      <c r="L301" s="138" t="s">
        <v>37</v>
      </c>
      <c r="M301" s="149">
        <v>0.887092979476128</v>
      </c>
      <c r="N301" s="120" t="s">
        <v>656</v>
      </c>
      <c r="O301" s="142">
        <v>4.883388</v>
      </c>
      <c r="P301" s="143">
        <v>28</v>
      </c>
      <c r="Q301" s="151" t="s">
        <v>37</v>
      </c>
      <c r="R301" s="124" t="s">
        <v>38</v>
      </c>
    </row>
    <row r="302" hidden="1" spans="1:18">
      <c r="A302" s="138"/>
      <c r="B302" s="138"/>
      <c r="C302" s="138"/>
      <c r="D302" s="138"/>
      <c r="E302" s="138"/>
      <c r="F302" s="138"/>
      <c r="G302" s="137"/>
      <c r="H302" s="138"/>
      <c r="I302" s="138"/>
      <c r="J302" s="148"/>
      <c r="K302" s="138"/>
      <c r="L302" s="138"/>
      <c r="M302" s="149"/>
      <c r="N302" s="120" t="s">
        <v>657</v>
      </c>
      <c r="O302" s="142">
        <v>6.506997</v>
      </c>
      <c r="P302" s="143">
        <v>98</v>
      </c>
      <c r="Q302" s="151" t="s">
        <v>37</v>
      </c>
      <c r="R302" s="124"/>
    </row>
    <row r="303" s="5" customFormat="1" ht="120" hidden="1" spans="1:18">
      <c r="A303" s="156" t="s">
        <v>658</v>
      </c>
      <c r="B303" s="156" t="s">
        <v>158</v>
      </c>
      <c r="C303" s="156" t="s">
        <v>659</v>
      </c>
      <c r="D303" s="156" t="s">
        <v>32</v>
      </c>
      <c r="E303" s="156">
        <v>10</v>
      </c>
      <c r="F303" s="156" t="s">
        <v>317</v>
      </c>
      <c r="G303" s="14">
        <f t="shared" ref="G303:G327" si="18">F303/E303</f>
        <v>0.2</v>
      </c>
      <c r="H303" s="156" t="s">
        <v>660</v>
      </c>
      <c r="I303" s="156" t="s">
        <v>661</v>
      </c>
      <c r="J303" s="156">
        <v>9.16</v>
      </c>
      <c r="K303" s="156">
        <v>9.83</v>
      </c>
      <c r="L303" s="159" t="s">
        <v>37</v>
      </c>
      <c r="M303" s="35">
        <f t="shared" ref="M303:M328" si="19">J303/(J303+K303)</f>
        <v>0.482359136387572</v>
      </c>
      <c r="N303" s="160" t="s">
        <v>662</v>
      </c>
      <c r="O303" s="161" t="s">
        <v>663</v>
      </c>
      <c r="P303" s="162" t="s">
        <v>664</v>
      </c>
      <c r="Q303" s="167" t="s">
        <v>37</v>
      </c>
      <c r="R303" s="45" t="s">
        <v>27</v>
      </c>
    </row>
    <row r="304" s="5" customFormat="1" ht="30" hidden="1" spans="1:18">
      <c r="A304" s="156" t="s">
        <v>658</v>
      </c>
      <c r="B304" s="156" t="s">
        <v>158</v>
      </c>
      <c r="C304" s="156" t="s">
        <v>665</v>
      </c>
      <c r="D304" s="156" t="s">
        <v>25</v>
      </c>
      <c r="E304" s="156" t="s">
        <v>189</v>
      </c>
      <c r="F304" s="156" t="s">
        <v>282</v>
      </c>
      <c r="G304" s="14">
        <f t="shared" si="18"/>
        <v>0.666666666666667</v>
      </c>
      <c r="H304" s="156" t="s">
        <v>666</v>
      </c>
      <c r="I304" s="156"/>
      <c r="J304" s="156">
        <v>12.18</v>
      </c>
      <c r="K304" s="156">
        <v>0</v>
      </c>
      <c r="L304" s="159"/>
      <c r="M304" s="35">
        <f t="shared" si="19"/>
        <v>1</v>
      </c>
      <c r="N304" s="163"/>
      <c r="O304" s="164"/>
      <c r="P304" s="164"/>
      <c r="Q304" s="164"/>
      <c r="R304" s="45" t="s">
        <v>27</v>
      </c>
    </row>
    <row r="305" s="5" customFormat="1" ht="30" hidden="1" spans="1:18">
      <c r="A305" s="156" t="s">
        <v>658</v>
      </c>
      <c r="B305" s="156" t="s">
        <v>158</v>
      </c>
      <c r="C305" s="156" t="s">
        <v>667</v>
      </c>
      <c r="D305" s="156" t="s">
        <v>25</v>
      </c>
      <c r="E305" s="156" t="s">
        <v>389</v>
      </c>
      <c r="F305" s="156">
        <v>7</v>
      </c>
      <c r="G305" s="14">
        <f t="shared" si="18"/>
        <v>0.777777777777778</v>
      </c>
      <c r="H305" s="156" t="s">
        <v>668</v>
      </c>
      <c r="I305" s="156"/>
      <c r="J305" s="156">
        <v>28.59</v>
      </c>
      <c r="K305" s="156">
        <v>0</v>
      </c>
      <c r="L305" s="159"/>
      <c r="M305" s="35">
        <f t="shared" si="19"/>
        <v>1</v>
      </c>
      <c r="N305" s="163"/>
      <c r="O305" s="164"/>
      <c r="P305" s="164"/>
      <c r="Q305" s="164"/>
      <c r="R305" s="45" t="s">
        <v>27</v>
      </c>
    </row>
    <row r="306" s="5" customFormat="1" ht="30" hidden="1" spans="1:18">
      <c r="A306" s="156" t="s">
        <v>658</v>
      </c>
      <c r="B306" s="156" t="s">
        <v>158</v>
      </c>
      <c r="C306" s="156" t="s">
        <v>669</v>
      </c>
      <c r="D306" s="156" t="s">
        <v>25</v>
      </c>
      <c r="E306" s="156">
        <v>7</v>
      </c>
      <c r="F306" s="156">
        <v>5</v>
      </c>
      <c r="G306" s="14">
        <f t="shared" si="18"/>
        <v>0.714285714285714</v>
      </c>
      <c r="H306" s="156" t="s">
        <v>670</v>
      </c>
      <c r="I306" s="156"/>
      <c r="J306" s="156">
        <v>33.85</v>
      </c>
      <c r="K306" s="156">
        <v>0</v>
      </c>
      <c r="L306" s="159"/>
      <c r="M306" s="35">
        <f t="shared" si="19"/>
        <v>1</v>
      </c>
      <c r="N306" s="163"/>
      <c r="O306" s="164"/>
      <c r="P306" s="164"/>
      <c r="Q306" s="164"/>
      <c r="R306" s="45" t="s">
        <v>27</v>
      </c>
    </row>
    <row r="307" s="5" customFormat="1" ht="45" hidden="1" spans="1:18">
      <c r="A307" s="156" t="s">
        <v>658</v>
      </c>
      <c r="B307" s="156" t="s">
        <v>158</v>
      </c>
      <c r="C307" s="156" t="s">
        <v>671</v>
      </c>
      <c r="D307" s="156" t="s">
        <v>25</v>
      </c>
      <c r="E307" s="156">
        <v>8</v>
      </c>
      <c r="F307" s="156">
        <v>5</v>
      </c>
      <c r="G307" s="14">
        <f t="shared" si="18"/>
        <v>0.625</v>
      </c>
      <c r="H307" s="156" t="s">
        <v>672</v>
      </c>
      <c r="I307" s="156"/>
      <c r="J307" s="156">
        <v>28.63</v>
      </c>
      <c r="K307" s="156">
        <v>0</v>
      </c>
      <c r="L307" s="159"/>
      <c r="M307" s="35">
        <f t="shared" si="19"/>
        <v>1</v>
      </c>
      <c r="N307" s="163"/>
      <c r="O307" s="164"/>
      <c r="P307" s="164"/>
      <c r="Q307" s="164"/>
      <c r="R307" s="45" t="s">
        <v>52</v>
      </c>
    </row>
    <row r="308" s="5" customFormat="1" ht="45" hidden="1" spans="1:18">
      <c r="A308" s="156" t="s">
        <v>658</v>
      </c>
      <c r="B308" s="156" t="s">
        <v>158</v>
      </c>
      <c r="C308" s="156" t="s">
        <v>673</v>
      </c>
      <c r="D308" s="156" t="s">
        <v>25</v>
      </c>
      <c r="E308" s="156" t="s">
        <v>204</v>
      </c>
      <c r="F308" s="156">
        <v>4</v>
      </c>
      <c r="G308" s="14">
        <f t="shared" si="18"/>
        <v>0.571428571428571</v>
      </c>
      <c r="H308" s="156" t="s">
        <v>674</v>
      </c>
      <c r="I308" s="156"/>
      <c r="J308" s="156">
        <v>12</v>
      </c>
      <c r="K308" s="156">
        <v>0</v>
      </c>
      <c r="L308" s="159"/>
      <c r="M308" s="35">
        <f t="shared" si="19"/>
        <v>1</v>
      </c>
      <c r="N308" s="163"/>
      <c r="O308" s="164"/>
      <c r="P308" s="164"/>
      <c r="Q308" s="164"/>
      <c r="R308" s="45" t="s">
        <v>27</v>
      </c>
    </row>
    <row r="309" s="5" customFormat="1" ht="30" hidden="1" spans="1:18">
      <c r="A309" s="156" t="s">
        <v>658</v>
      </c>
      <c r="B309" s="156" t="s">
        <v>158</v>
      </c>
      <c r="C309" s="156" t="s">
        <v>675</v>
      </c>
      <c r="D309" s="156" t="s">
        <v>25</v>
      </c>
      <c r="E309" s="156" t="s">
        <v>189</v>
      </c>
      <c r="F309" s="156" t="s">
        <v>282</v>
      </c>
      <c r="G309" s="14">
        <f t="shared" si="18"/>
        <v>0.666666666666667</v>
      </c>
      <c r="H309" s="156" t="s">
        <v>676</v>
      </c>
      <c r="I309" s="156"/>
      <c r="J309" s="156">
        <v>19.08</v>
      </c>
      <c r="K309" s="156">
        <v>0</v>
      </c>
      <c r="L309" s="159" t="s">
        <v>37</v>
      </c>
      <c r="M309" s="35">
        <f t="shared" si="19"/>
        <v>1</v>
      </c>
      <c r="N309" s="163"/>
      <c r="O309" s="164"/>
      <c r="P309" s="164"/>
      <c r="Q309" s="164"/>
      <c r="R309" s="45" t="s">
        <v>27</v>
      </c>
    </row>
    <row r="310" s="5" customFormat="1" ht="120" hidden="1" spans="1:18">
      <c r="A310" s="156" t="s">
        <v>658</v>
      </c>
      <c r="B310" s="156" t="s">
        <v>158</v>
      </c>
      <c r="C310" s="156" t="s">
        <v>677</v>
      </c>
      <c r="D310" s="156" t="s">
        <v>32</v>
      </c>
      <c r="E310" s="156" t="s">
        <v>176</v>
      </c>
      <c r="F310" s="156">
        <v>6</v>
      </c>
      <c r="G310" s="14">
        <f t="shared" si="18"/>
        <v>0.6</v>
      </c>
      <c r="H310" s="156" t="s">
        <v>678</v>
      </c>
      <c r="I310" s="156" t="s">
        <v>679</v>
      </c>
      <c r="J310" s="156">
        <v>17.88</v>
      </c>
      <c r="K310" s="156">
        <v>2.73</v>
      </c>
      <c r="L310" s="159" t="s">
        <v>37</v>
      </c>
      <c r="M310" s="35">
        <f t="shared" si="19"/>
        <v>0.867540029112082</v>
      </c>
      <c r="N310" s="163" t="s">
        <v>680</v>
      </c>
      <c r="O310" s="45">
        <v>2.73</v>
      </c>
      <c r="P310" s="164">
        <v>47</v>
      </c>
      <c r="Q310" s="164" t="s">
        <v>37</v>
      </c>
      <c r="R310" s="45" t="s">
        <v>27</v>
      </c>
    </row>
    <row r="311" s="5" customFormat="1" ht="135" hidden="1" spans="1:18">
      <c r="A311" s="156" t="s">
        <v>658</v>
      </c>
      <c r="B311" s="156" t="s">
        <v>30</v>
      </c>
      <c r="C311" s="156" t="s">
        <v>681</v>
      </c>
      <c r="D311" s="156" t="s">
        <v>32</v>
      </c>
      <c r="E311" s="156">
        <v>21</v>
      </c>
      <c r="F311" s="156">
        <v>15</v>
      </c>
      <c r="G311" s="14">
        <f t="shared" si="18"/>
        <v>0.714285714285714</v>
      </c>
      <c r="H311" s="156" t="s">
        <v>682</v>
      </c>
      <c r="I311" s="156" t="s">
        <v>683</v>
      </c>
      <c r="J311" s="156">
        <v>47.03</v>
      </c>
      <c r="K311" s="156">
        <v>7.04</v>
      </c>
      <c r="L311" s="159" t="s">
        <v>35</v>
      </c>
      <c r="M311" s="35">
        <f t="shared" si="19"/>
        <v>0.869798409469207</v>
      </c>
      <c r="N311" s="163" t="s">
        <v>684</v>
      </c>
      <c r="O311" s="45" t="s">
        <v>685</v>
      </c>
      <c r="P311" s="164" t="s">
        <v>686</v>
      </c>
      <c r="Q311" s="164" t="s">
        <v>264</v>
      </c>
      <c r="R311" s="45" t="s">
        <v>38</v>
      </c>
    </row>
    <row r="312" s="5" customFormat="1" ht="105" hidden="1" spans="1:18">
      <c r="A312" s="156" t="s">
        <v>658</v>
      </c>
      <c r="B312" s="156" t="s">
        <v>30</v>
      </c>
      <c r="C312" s="156" t="s">
        <v>687</v>
      </c>
      <c r="D312" s="156" t="s">
        <v>32</v>
      </c>
      <c r="E312" s="156" t="s">
        <v>389</v>
      </c>
      <c r="F312" s="156">
        <v>5</v>
      </c>
      <c r="G312" s="14">
        <f t="shared" si="18"/>
        <v>0.555555555555556</v>
      </c>
      <c r="H312" s="156" t="s">
        <v>688</v>
      </c>
      <c r="I312" s="156" t="s">
        <v>689</v>
      </c>
      <c r="J312" s="156">
        <v>13.18</v>
      </c>
      <c r="K312" s="156">
        <v>2.44</v>
      </c>
      <c r="L312" s="159" t="s">
        <v>37</v>
      </c>
      <c r="M312" s="35">
        <f t="shared" si="19"/>
        <v>0.843790012804097</v>
      </c>
      <c r="N312" s="163" t="s">
        <v>690</v>
      </c>
      <c r="O312" s="164">
        <v>2.44</v>
      </c>
      <c r="P312" s="164">
        <v>70</v>
      </c>
      <c r="Q312" s="164" t="s">
        <v>37</v>
      </c>
      <c r="R312" s="45" t="s">
        <v>52</v>
      </c>
    </row>
    <row r="313" s="5" customFormat="1" ht="120" hidden="1" spans="1:18">
      <c r="A313" s="156" t="s">
        <v>658</v>
      </c>
      <c r="B313" s="156" t="s">
        <v>30</v>
      </c>
      <c r="C313" s="156" t="s">
        <v>691</v>
      </c>
      <c r="D313" s="156" t="s">
        <v>32</v>
      </c>
      <c r="E313" s="156" t="s">
        <v>324</v>
      </c>
      <c r="F313" s="156">
        <v>6</v>
      </c>
      <c r="G313" s="14">
        <f t="shared" si="18"/>
        <v>0.461538461538462</v>
      </c>
      <c r="H313" s="156" t="s">
        <v>692</v>
      </c>
      <c r="I313" s="156" t="s">
        <v>693</v>
      </c>
      <c r="J313" s="156">
        <v>27.36</v>
      </c>
      <c r="K313" s="156">
        <v>1.98</v>
      </c>
      <c r="L313" s="159" t="s">
        <v>37</v>
      </c>
      <c r="M313" s="35">
        <f t="shared" si="19"/>
        <v>0.932515337423313</v>
      </c>
      <c r="N313" s="163" t="s">
        <v>694</v>
      </c>
      <c r="O313" s="45">
        <v>1.98</v>
      </c>
      <c r="P313" s="164">
        <v>62</v>
      </c>
      <c r="Q313" s="164" t="s">
        <v>37</v>
      </c>
      <c r="R313" s="45" t="s">
        <v>27</v>
      </c>
    </row>
    <row r="314" s="5" customFormat="1" ht="90" hidden="1" spans="1:18">
      <c r="A314" s="156" t="s">
        <v>658</v>
      </c>
      <c r="B314" s="156" t="s">
        <v>30</v>
      </c>
      <c r="C314" s="156" t="s">
        <v>695</v>
      </c>
      <c r="D314" s="156" t="s">
        <v>32</v>
      </c>
      <c r="E314" s="156">
        <v>12</v>
      </c>
      <c r="F314" s="156">
        <v>7</v>
      </c>
      <c r="G314" s="14">
        <f t="shared" si="18"/>
        <v>0.583333333333333</v>
      </c>
      <c r="H314" s="156" t="s">
        <v>696</v>
      </c>
      <c r="I314" s="156" t="s">
        <v>697</v>
      </c>
      <c r="J314" s="156">
        <v>13.16</v>
      </c>
      <c r="K314" s="156">
        <v>11.8</v>
      </c>
      <c r="L314" s="159" t="s">
        <v>37</v>
      </c>
      <c r="M314" s="35">
        <f t="shared" si="19"/>
        <v>0.52724358974359</v>
      </c>
      <c r="N314" s="165" t="s">
        <v>698</v>
      </c>
      <c r="O314" s="166" t="s">
        <v>699</v>
      </c>
      <c r="P314" s="166" t="s">
        <v>700</v>
      </c>
      <c r="Q314" s="164"/>
      <c r="R314" s="45" t="s">
        <v>27</v>
      </c>
    </row>
    <row r="315" s="5" customFormat="1" ht="90" hidden="1" spans="1:18">
      <c r="A315" s="156" t="s">
        <v>658</v>
      </c>
      <c r="B315" s="156" t="s">
        <v>30</v>
      </c>
      <c r="C315" s="156" t="s">
        <v>701</v>
      </c>
      <c r="D315" s="156" t="s">
        <v>25</v>
      </c>
      <c r="E315" s="156" t="s">
        <v>185</v>
      </c>
      <c r="F315" s="156" t="s">
        <v>282</v>
      </c>
      <c r="G315" s="14">
        <f t="shared" si="18"/>
        <v>0.363636363636364</v>
      </c>
      <c r="H315" s="156" t="s">
        <v>702</v>
      </c>
      <c r="I315" s="156"/>
      <c r="J315" s="156">
        <v>16.85</v>
      </c>
      <c r="K315" s="156">
        <v>0</v>
      </c>
      <c r="L315" s="159"/>
      <c r="M315" s="35">
        <f t="shared" si="19"/>
        <v>1</v>
      </c>
      <c r="N315" s="163"/>
      <c r="O315" s="164"/>
      <c r="P315" s="164"/>
      <c r="Q315" s="164"/>
      <c r="R315" s="45" t="s">
        <v>27</v>
      </c>
    </row>
    <row r="316" s="5" customFormat="1" ht="90" hidden="1" spans="1:18">
      <c r="A316" s="156" t="s">
        <v>658</v>
      </c>
      <c r="B316" s="156" t="s">
        <v>30</v>
      </c>
      <c r="C316" s="156" t="s">
        <v>703</v>
      </c>
      <c r="D316" s="156" t="s">
        <v>32</v>
      </c>
      <c r="E316" s="156">
        <v>35</v>
      </c>
      <c r="F316" s="156">
        <v>28</v>
      </c>
      <c r="G316" s="14">
        <f t="shared" si="18"/>
        <v>0.8</v>
      </c>
      <c r="H316" s="156" t="s">
        <v>704</v>
      </c>
      <c r="I316" s="156" t="s">
        <v>705</v>
      </c>
      <c r="J316" s="156">
        <v>60.9</v>
      </c>
      <c r="K316" s="156">
        <v>29.58</v>
      </c>
      <c r="L316" s="159" t="s">
        <v>37</v>
      </c>
      <c r="M316" s="35">
        <f t="shared" si="19"/>
        <v>0.673076923076923</v>
      </c>
      <c r="N316" s="165" t="s">
        <v>706</v>
      </c>
      <c r="O316" s="166" t="s">
        <v>707</v>
      </c>
      <c r="P316" s="166" t="s">
        <v>708</v>
      </c>
      <c r="Q316" s="164" t="s">
        <v>37</v>
      </c>
      <c r="R316" s="45" t="s">
        <v>38</v>
      </c>
    </row>
    <row r="317" s="5" customFormat="1" ht="45" hidden="1" spans="1:18">
      <c r="A317" s="156" t="s">
        <v>658</v>
      </c>
      <c r="B317" s="156" t="s">
        <v>30</v>
      </c>
      <c r="C317" s="156" t="s">
        <v>709</v>
      </c>
      <c r="D317" s="156" t="s">
        <v>25</v>
      </c>
      <c r="E317" s="156">
        <v>17</v>
      </c>
      <c r="F317" s="156">
        <v>15</v>
      </c>
      <c r="G317" s="14">
        <f t="shared" si="18"/>
        <v>0.882352941176471</v>
      </c>
      <c r="H317" s="156" t="s">
        <v>710</v>
      </c>
      <c r="I317" s="156"/>
      <c r="J317" s="156">
        <v>28.47</v>
      </c>
      <c r="K317" s="156">
        <v>0</v>
      </c>
      <c r="L317" s="159"/>
      <c r="M317" s="35">
        <f t="shared" si="19"/>
        <v>1</v>
      </c>
      <c r="N317" s="163"/>
      <c r="O317" s="164"/>
      <c r="P317" s="164"/>
      <c r="Q317" s="164"/>
      <c r="R317" s="45" t="s">
        <v>52</v>
      </c>
    </row>
    <row r="318" s="5" customFormat="1" ht="145" hidden="1" customHeight="1" spans="1:18">
      <c r="A318" s="156" t="s">
        <v>658</v>
      </c>
      <c r="B318" s="156" t="s">
        <v>30</v>
      </c>
      <c r="C318" s="156" t="s">
        <v>711</v>
      </c>
      <c r="D318" s="156" t="s">
        <v>32</v>
      </c>
      <c r="E318" s="156">
        <v>24</v>
      </c>
      <c r="F318" s="156">
        <v>13</v>
      </c>
      <c r="G318" s="14">
        <f t="shared" si="18"/>
        <v>0.541666666666667</v>
      </c>
      <c r="H318" s="156" t="s">
        <v>712</v>
      </c>
      <c r="I318" s="156" t="s">
        <v>713</v>
      </c>
      <c r="J318" s="156" t="s">
        <v>714</v>
      </c>
      <c r="K318" s="156" t="s">
        <v>715</v>
      </c>
      <c r="L318" s="159" t="s">
        <v>35</v>
      </c>
      <c r="M318" s="35">
        <f t="shared" si="19"/>
        <v>0.637041126138559</v>
      </c>
      <c r="N318" s="165" t="s">
        <v>716</v>
      </c>
      <c r="O318" s="166" t="s">
        <v>717</v>
      </c>
      <c r="P318" s="164" t="s">
        <v>718</v>
      </c>
      <c r="Q318" s="164" t="s">
        <v>35</v>
      </c>
      <c r="R318" s="45" t="s">
        <v>52</v>
      </c>
    </row>
    <row r="319" s="5" customFormat="1" ht="96" hidden="1" customHeight="1" spans="1:18">
      <c r="A319" s="156" t="s">
        <v>658</v>
      </c>
      <c r="B319" s="156" t="s">
        <v>30</v>
      </c>
      <c r="C319" s="156" t="s">
        <v>719</v>
      </c>
      <c r="D319" s="156" t="s">
        <v>32</v>
      </c>
      <c r="E319" s="156">
        <v>19</v>
      </c>
      <c r="F319" s="156">
        <v>14</v>
      </c>
      <c r="G319" s="14">
        <f t="shared" si="18"/>
        <v>0.736842105263158</v>
      </c>
      <c r="H319" s="156" t="s">
        <v>720</v>
      </c>
      <c r="I319" s="156" t="s">
        <v>721</v>
      </c>
      <c r="J319" s="156">
        <v>29.77</v>
      </c>
      <c r="K319" s="156">
        <v>4.31</v>
      </c>
      <c r="L319" s="159" t="s">
        <v>37</v>
      </c>
      <c r="M319" s="35">
        <f t="shared" si="19"/>
        <v>0.873532863849765</v>
      </c>
      <c r="N319" s="163" t="s">
        <v>722</v>
      </c>
      <c r="O319" s="164" t="s">
        <v>723</v>
      </c>
      <c r="P319" s="164" t="s">
        <v>724</v>
      </c>
      <c r="Q319" s="164" t="s">
        <v>37</v>
      </c>
      <c r="R319" s="45" t="s">
        <v>38</v>
      </c>
    </row>
    <row r="320" s="5" customFormat="1" ht="180" hidden="1" spans="1:18">
      <c r="A320" s="156" t="s">
        <v>658</v>
      </c>
      <c r="B320" s="156" t="s">
        <v>30</v>
      </c>
      <c r="C320" s="156" t="s">
        <v>725</v>
      </c>
      <c r="D320" s="156" t="s">
        <v>32</v>
      </c>
      <c r="E320" s="156">
        <v>24</v>
      </c>
      <c r="F320" s="156">
        <v>10</v>
      </c>
      <c r="G320" s="14">
        <f t="shared" si="18"/>
        <v>0.416666666666667</v>
      </c>
      <c r="H320" s="156" t="s">
        <v>726</v>
      </c>
      <c r="I320" s="156" t="s">
        <v>727</v>
      </c>
      <c r="J320" s="156">
        <v>26.69</v>
      </c>
      <c r="K320" s="156">
        <v>3.13</v>
      </c>
      <c r="L320" s="159" t="s">
        <v>35</v>
      </c>
      <c r="M320" s="35">
        <f t="shared" si="19"/>
        <v>0.895036887994635</v>
      </c>
      <c r="N320" s="165" t="s">
        <v>728</v>
      </c>
      <c r="O320" s="166" t="s">
        <v>729</v>
      </c>
      <c r="P320" s="164" t="s">
        <v>730</v>
      </c>
      <c r="Q320" s="164" t="s">
        <v>35</v>
      </c>
      <c r="R320" s="45" t="s">
        <v>52</v>
      </c>
    </row>
    <row r="321" s="5" customFormat="1" ht="30" hidden="1" spans="1:18">
      <c r="A321" s="156" t="s">
        <v>658</v>
      </c>
      <c r="B321" s="156" t="s">
        <v>30</v>
      </c>
      <c r="C321" s="156" t="s">
        <v>731</v>
      </c>
      <c r="D321" s="156" t="s">
        <v>25</v>
      </c>
      <c r="E321" s="156">
        <v>9</v>
      </c>
      <c r="F321" s="156">
        <v>7</v>
      </c>
      <c r="G321" s="14">
        <f t="shared" si="18"/>
        <v>0.777777777777778</v>
      </c>
      <c r="H321" s="156" t="s">
        <v>732</v>
      </c>
      <c r="I321" s="156"/>
      <c r="J321" s="156">
        <v>16.13</v>
      </c>
      <c r="K321" s="156"/>
      <c r="L321" s="159"/>
      <c r="M321" s="35">
        <f t="shared" si="19"/>
        <v>1</v>
      </c>
      <c r="N321" s="163"/>
      <c r="O321" s="164"/>
      <c r="P321" s="164"/>
      <c r="Q321" s="164"/>
      <c r="R321" s="45" t="s">
        <v>52</v>
      </c>
    </row>
    <row r="322" s="5" customFormat="1" ht="75" hidden="1" spans="1:18">
      <c r="A322" s="156" t="s">
        <v>658</v>
      </c>
      <c r="B322" s="156" t="s">
        <v>30</v>
      </c>
      <c r="C322" s="156" t="s">
        <v>733</v>
      </c>
      <c r="D322" s="156" t="s">
        <v>25</v>
      </c>
      <c r="E322" s="156">
        <v>11</v>
      </c>
      <c r="F322" s="156" t="s">
        <v>293</v>
      </c>
      <c r="G322" s="14">
        <f t="shared" si="18"/>
        <v>0.454545454545455</v>
      </c>
      <c r="H322" s="156" t="s">
        <v>734</v>
      </c>
      <c r="I322" s="156"/>
      <c r="J322" s="156" t="s">
        <v>735</v>
      </c>
      <c r="K322" s="156">
        <v>0</v>
      </c>
      <c r="L322" s="159"/>
      <c r="M322" s="35">
        <f t="shared" si="19"/>
        <v>1</v>
      </c>
      <c r="N322" s="163"/>
      <c r="O322" s="164"/>
      <c r="P322" s="164"/>
      <c r="Q322" s="164"/>
      <c r="R322" s="45" t="s">
        <v>52</v>
      </c>
    </row>
    <row r="323" s="5" customFormat="1" ht="240" hidden="1" spans="1:18">
      <c r="A323" s="156" t="s">
        <v>658</v>
      </c>
      <c r="B323" s="156" t="s">
        <v>30</v>
      </c>
      <c r="C323" s="156" t="s">
        <v>736</v>
      </c>
      <c r="D323" s="156" t="s">
        <v>32</v>
      </c>
      <c r="E323" s="156" t="s">
        <v>247</v>
      </c>
      <c r="F323" s="156">
        <v>1</v>
      </c>
      <c r="G323" s="14">
        <f t="shared" si="18"/>
        <v>0.0476190476190476</v>
      </c>
      <c r="H323" s="156" t="s">
        <v>737</v>
      </c>
      <c r="I323" s="156" t="s">
        <v>738</v>
      </c>
      <c r="J323" s="156">
        <v>6.3</v>
      </c>
      <c r="K323" s="156">
        <v>32.52</v>
      </c>
      <c r="L323" s="159" t="s">
        <v>37</v>
      </c>
      <c r="M323" s="35">
        <f t="shared" si="19"/>
        <v>0.162287480680062</v>
      </c>
      <c r="N323" s="165" t="s">
        <v>739</v>
      </c>
      <c r="O323" s="166" t="s">
        <v>740</v>
      </c>
      <c r="P323" s="166" t="s">
        <v>741</v>
      </c>
      <c r="Q323" s="164" t="s">
        <v>37</v>
      </c>
      <c r="R323" s="45" t="s">
        <v>27</v>
      </c>
    </row>
    <row r="324" s="5" customFormat="1" ht="120" hidden="1" spans="1:18">
      <c r="A324" s="156" t="s">
        <v>658</v>
      </c>
      <c r="B324" s="156" t="s">
        <v>30</v>
      </c>
      <c r="C324" s="156" t="s">
        <v>742</v>
      </c>
      <c r="D324" s="156" t="s">
        <v>32</v>
      </c>
      <c r="E324" s="156">
        <v>14</v>
      </c>
      <c r="F324" s="156" t="s">
        <v>293</v>
      </c>
      <c r="G324" s="14">
        <f t="shared" si="18"/>
        <v>0.357142857142857</v>
      </c>
      <c r="H324" s="156" t="s">
        <v>743</v>
      </c>
      <c r="I324" s="156" t="s">
        <v>744</v>
      </c>
      <c r="J324" s="156">
        <v>19.44</v>
      </c>
      <c r="K324" s="156">
        <v>3.38</v>
      </c>
      <c r="L324" s="159" t="s">
        <v>37</v>
      </c>
      <c r="M324" s="35">
        <f t="shared" si="19"/>
        <v>0.851884312007011</v>
      </c>
      <c r="N324" s="163" t="s">
        <v>745</v>
      </c>
      <c r="O324" s="164" t="s">
        <v>746</v>
      </c>
      <c r="P324" s="164" t="s">
        <v>747</v>
      </c>
      <c r="Q324" s="164" t="s">
        <v>37</v>
      </c>
      <c r="R324" s="45" t="s">
        <v>52</v>
      </c>
    </row>
    <row r="325" s="5" customFormat="1" ht="32" hidden="1" customHeight="1" spans="1:18">
      <c r="A325" s="156" t="s">
        <v>658</v>
      </c>
      <c r="B325" s="156" t="s">
        <v>30</v>
      </c>
      <c r="C325" s="156" t="s">
        <v>748</v>
      </c>
      <c r="D325" s="156" t="s">
        <v>25</v>
      </c>
      <c r="E325" s="156">
        <v>5</v>
      </c>
      <c r="F325" s="156">
        <v>4</v>
      </c>
      <c r="G325" s="14">
        <f t="shared" si="18"/>
        <v>0.8</v>
      </c>
      <c r="H325" s="156" t="s">
        <v>749</v>
      </c>
      <c r="I325" s="156"/>
      <c r="J325" s="156">
        <v>2.5</v>
      </c>
      <c r="K325" s="156">
        <v>0</v>
      </c>
      <c r="L325" s="159"/>
      <c r="M325" s="35">
        <f t="shared" si="19"/>
        <v>1</v>
      </c>
      <c r="N325" s="163"/>
      <c r="O325" s="164"/>
      <c r="P325" s="164"/>
      <c r="Q325" s="164"/>
      <c r="R325" s="45" t="s">
        <v>27</v>
      </c>
    </row>
    <row r="326" s="6" customFormat="1" ht="90" hidden="1" spans="1:18">
      <c r="A326" s="168" t="s">
        <v>658</v>
      </c>
      <c r="B326" s="168" t="s">
        <v>23</v>
      </c>
      <c r="C326" s="168" t="s">
        <v>750</v>
      </c>
      <c r="D326" s="168" t="s">
        <v>32</v>
      </c>
      <c r="E326" s="168" t="s">
        <v>324</v>
      </c>
      <c r="F326" s="168">
        <v>8</v>
      </c>
      <c r="G326" s="169">
        <f t="shared" si="18"/>
        <v>0.615384615384615</v>
      </c>
      <c r="H326" s="168" t="s">
        <v>751</v>
      </c>
      <c r="I326" s="168" t="s">
        <v>752</v>
      </c>
      <c r="J326" s="168" t="s">
        <v>753</v>
      </c>
      <c r="K326" s="168">
        <v>4.62</v>
      </c>
      <c r="L326" s="188" t="s">
        <v>37</v>
      </c>
      <c r="M326" s="189">
        <f t="shared" si="19"/>
        <v>0.868075385494004</v>
      </c>
      <c r="N326" s="190" t="s">
        <v>754</v>
      </c>
      <c r="O326" s="191" t="s">
        <v>755</v>
      </c>
      <c r="P326" s="191" t="s">
        <v>756</v>
      </c>
      <c r="Q326" s="191"/>
      <c r="R326" s="221" t="s">
        <v>27</v>
      </c>
    </row>
    <row r="327" s="5" customFormat="1" ht="28" hidden="1" customHeight="1" spans="1:18">
      <c r="A327" s="156" t="s">
        <v>658</v>
      </c>
      <c r="B327" s="156" t="s">
        <v>23</v>
      </c>
      <c r="C327" s="156" t="s">
        <v>757</v>
      </c>
      <c r="D327" s="156" t="s">
        <v>25</v>
      </c>
      <c r="E327" s="156" t="s">
        <v>317</v>
      </c>
      <c r="F327" s="156" t="s">
        <v>317</v>
      </c>
      <c r="G327" s="14">
        <f t="shared" si="18"/>
        <v>1</v>
      </c>
      <c r="H327" s="156"/>
      <c r="I327" s="156"/>
      <c r="J327" s="156" t="s">
        <v>758</v>
      </c>
      <c r="K327" s="156">
        <v>0</v>
      </c>
      <c r="L327" s="159"/>
      <c r="M327" s="35">
        <f t="shared" si="19"/>
        <v>1</v>
      </c>
      <c r="N327" s="163"/>
      <c r="O327" s="164"/>
      <c r="P327" s="164"/>
      <c r="Q327" s="164"/>
      <c r="R327" s="45" t="s">
        <v>27</v>
      </c>
    </row>
    <row r="328" s="1" customFormat="1" ht="49" hidden="1" customHeight="1" spans="1:18">
      <c r="A328" s="125" t="s">
        <v>759</v>
      </c>
      <c r="B328" s="126" t="s">
        <v>30</v>
      </c>
      <c r="C328" s="125" t="s">
        <v>760</v>
      </c>
      <c r="D328" s="125" t="s">
        <v>32</v>
      </c>
      <c r="E328" s="126">
        <v>9</v>
      </c>
      <c r="F328" s="126">
        <v>2</v>
      </c>
      <c r="G328" s="107">
        <v>0.2222</v>
      </c>
      <c r="H328" s="170" t="s">
        <v>761</v>
      </c>
      <c r="I328" s="192" t="s">
        <v>762</v>
      </c>
      <c r="J328" s="126">
        <v>9.17</v>
      </c>
      <c r="K328" s="126">
        <v>13.28</v>
      </c>
      <c r="L328" s="126" t="s">
        <v>37</v>
      </c>
      <c r="M328" s="193">
        <f t="shared" si="19"/>
        <v>0.408463251670379</v>
      </c>
      <c r="N328" s="194" t="s">
        <v>763</v>
      </c>
      <c r="O328" s="99">
        <v>3.47</v>
      </c>
      <c r="P328" s="45">
        <v>50</v>
      </c>
      <c r="Q328" s="45" t="s">
        <v>37</v>
      </c>
      <c r="R328" s="60" t="s">
        <v>764</v>
      </c>
    </row>
    <row r="329" s="1" customFormat="1" ht="49" hidden="1" customHeight="1" spans="1:18">
      <c r="A329" s="129"/>
      <c r="B329" s="130"/>
      <c r="C329" s="129"/>
      <c r="D329" s="129"/>
      <c r="E329" s="130"/>
      <c r="F329" s="130"/>
      <c r="G329" s="171"/>
      <c r="H329" s="172"/>
      <c r="I329" s="195"/>
      <c r="J329" s="130"/>
      <c r="K329" s="130"/>
      <c r="L329" s="130"/>
      <c r="M329" s="196"/>
      <c r="N329" s="194" t="s">
        <v>765</v>
      </c>
      <c r="O329" s="99">
        <v>2.77</v>
      </c>
      <c r="P329" s="45">
        <v>12</v>
      </c>
      <c r="Q329" s="45" t="s">
        <v>37</v>
      </c>
      <c r="R329" s="61"/>
    </row>
    <row r="330" s="1" customFormat="1" ht="49" hidden="1" customHeight="1" spans="1:18">
      <c r="A330" s="129"/>
      <c r="B330" s="130"/>
      <c r="C330" s="129"/>
      <c r="D330" s="129"/>
      <c r="E330" s="130"/>
      <c r="F330" s="130"/>
      <c r="G330" s="171"/>
      <c r="H330" s="172"/>
      <c r="I330" s="195"/>
      <c r="J330" s="130"/>
      <c r="K330" s="130"/>
      <c r="L330" s="130"/>
      <c r="M330" s="196"/>
      <c r="N330" s="194" t="s">
        <v>766</v>
      </c>
      <c r="O330" s="99">
        <v>3.85</v>
      </c>
      <c r="P330" s="45">
        <v>48</v>
      </c>
      <c r="Q330" s="45" t="s">
        <v>37</v>
      </c>
      <c r="R330" s="61"/>
    </row>
    <row r="331" s="1" customFormat="1" ht="49" hidden="1" customHeight="1" spans="1:18">
      <c r="A331" s="133"/>
      <c r="B331" s="134"/>
      <c r="C331" s="133"/>
      <c r="D331" s="133"/>
      <c r="E331" s="134"/>
      <c r="F331" s="134"/>
      <c r="G331" s="110"/>
      <c r="H331" s="173"/>
      <c r="I331" s="197"/>
      <c r="J331" s="134"/>
      <c r="K331" s="134"/>
      <c r="L331" s="134"/>
      <c r="M331" s="198"/>
      <c r="N331" s="194" t="s">
        <v>767</v>
      </c>
      <c r="O331" s="99">
        <v>3.19</v>
      </c>
      <c r="P331" s="45">
        <v>29</v>
      </c>
      <c r="Q331" s="45" t="s">
        <v>37</v>
      </c>
      <c r="R331" s="62"/>
    </row>
    <row r="332" s="1" customFormat="1" ht="135" hidden="1" spans="1:18">
      <c r="A332" s="56" t="s">
        <v>759</v>
      </c>
      <c r="B332" s="99" t="s">
        <v>158</v>
      </c>
      <c r="C332" s="56" t="s">
        <v>768</v>
      </c>
      <c r="D332" s="56" t="s">
        <v>32</v>
      </c>
      <c r="E332" s="99">
        <v>8</v>
      </c>
      <c r="F332" s="99">
        <v>7</v>
      </c>
      <c r="G332" s="32">
        <f>F332/E332</f>
        <v>0.875</v>
      </c>
      <c r="H332" s="174" t="s">
        <v>769</v>
      </c>
      <c r="I332" s="199" t="s">
        <v>770</v>
      </c>
      <c r="J332" s="99">
        <v>14.83</v>
      </c>
      <c r="K332" s="99">
        <v>3.51</v>
      </c>
      <c r="L332" s="99" t="s">
        <v>37</v>
      </c>
      <c r="M332" s="101">
        <f>J332/(J332+K332)</f>
        <v>0.808615049073064</v>
      </c>
      <c r="N332" s="194" t="s">
        <v>771</v>
      </c>
      <c r="O332" s="99">
        <v>3.51</v>
      </c>
      <c r="P332" s="45">
        <v>39</v>
      </c>
      <c r="Q332" s="45" t="s">
        <v>37</v>
      </c>
      <c r="R332" s="45" t="s">
        <v>764</v>
      </c>
    </row>
    <row r="333" s="1" customFormat="1" ht="73" hidden="1" customHeight="1" spans="1:18">
      <c r="A333" s="125" t="s">
        <v>759</v>
      </c>
      <c r="B333" s="126" t="s">
        <v>30</v>
      </c>
      <c r="C333" s="125" t="s">
        <v>772</v>
      </c>
      <c r="D333" s="125" t="s">
        <v>32</v>
      </c>
      <c r="E333" s="126">
        <v>13</v>
      </c>
      <c r="F333" s="126">
        <v>2</v>
      </c>
      <c r="G333" s="107">
        <f>F333/E333</f>
        <v>0.153846153846154</v>
      </c>
      <c r="H333" s="71" t="s">
        <v>773</v>
      </c>
      <c r="I333" s="192" t="s">
        <v>774</v>
      </c>
      <c r="J333" s="126">
        <v>13.42</v>
      </c>
      <c r="K333" s="126">
        <v>10.68</v>
      </c>
      <c r="L333" s="126" t="s">
        <v>37</v>
      </c>
      <c r="M333" s="193">
        <f>J333/(J333+K333)</f>
        <v>0.556846473029046</v>
      </c>
      <c r="N333" s="194" t="s">
        <v>775</v>
      </c>
      <c r="O333" s="99">
        <v>1.72</v>
      </c>
      <c r="P333" s="45">
        <v>22</v>
      </c>
      <c r="Q333" s="45" t="s">
        <v>37</v>
      </c>
      <c r="R333" s="60" t="s">
        <v>764</v>
      </c>
    </row>
    <row r="334" s="7" customFormat="1" ht="73" hidden="1" customHeight="1" spans="1:18">
      <c r="A334" s="129"/>
      <c r="B334" s="130"/>
      <c r="C334" s="129"/>
      <c r="D334" s="129"/>
      <c r="E334" s="130"/>
      <c r="F334" s="130"/>
      <c r="G334" s="171"/>
      <c r="H334" s="175"/>
      <c r="I334" s="195"/>
      <c r="J334" s="130"/>
      <c r="K334" s="130"/>
      <c r="L334" s="130"/>
      <c r="M334" s="196"/>
      <c r="N334" s="200" t="s">
        <v>776</v>
      </c>
      <c r="O334" s="81">
        <v>1.75</v>
      </c>
      <c r="P334" s="87">
        <v>15</v>
      </c>
      <c r="Q334" s="45" t="s">
        <v>37</v>
      </c>
      <c r="R334" s="61"/>
    </row>
    <row r="335" s="7" customFormat="1" ht="73" hidden="1" customHeight="1" spans="1:18">
      <c r="A335" s="129"/>
      <c r="B335" s="130"/>
      <c r="C335" s="129"/>
      <c r="D335" s="129"/>
      <c r="E335" s="130"/>
      <c r="F335" s="130"/>
      <c r="G335" s="171"/>
      <c r="H335" s="175"/>
      <c r="I335" s="195"/>
      <c r="J335" s="130"/>
      <c r="K335" s="130"/>
      <c r="L335" s="130"/>
      <c r="M335" s="196"/>
      <c r="N335" s="200" t="s">
        <v>777</v>
      </c>
      <c r="O335" s="81">
        <v>2.31</v>
      </c>
      <c r="P335" s="87">
        <v>37</v>
      </c>
      <c r="Q335" s="45" t="s">
        <v>37</v>
      </c>
      <c r="R335" s="61"/>
    </row>
    <row r="336" s="7" customFormat="1" ht="73" hidden="1" customHeight="1" spans="1:18">
      <c r="A336" s="129"/>
      <c r="B336" s="130"/>
      <c r="C336" s="129"/>
      <c r="D336" s="129"/>
      <c r="E336" s="130"/>
      <c r="F336" s="130"/>
      <c r="G336" s="171"/>
      <c r="H336" s="175"/>
      <c r="I336" s="195"/>
      <c r="J336" s="130"/>
      <c r="K336" s="130"/>
      <c r="L336" s="130"/>
      <c r="M336" s="196"/>
      <c r="N336" s="200" t="s">
        <v>778</v>
      </c>
      <c r="O336" s="81">
        <v>2.11</v>
      </c>
      <c r="P336" s="87">
        <v>32</v>
      </c>
      <c r="Q336" s="45" t="s">
        <v>37</v>
      </c>
      <c r="R336" s="61"/>
    </row>
    <row r="337" s="7" customFormat="1" ht="73" hidden="1" customHeight="1" spans="1:18">
      <c r="A337" s="133"/>
      <c r="B337" s="134"/>
      <c r="C337" s="133"/>
      <c r="D337" s="133"/>
      <c r="E337" s="134"/>
      <c r="F337" s="134"/>
      <c r="G337" s="110"/>
      <c r="H337" s="176"/>
      <c r="I337" s="197"/>
      <c r="J337" s="134"/>
      <c r="K337" s="134"/>
      <c r="L337" s="134"/>
      <c r="M337" s="198"/>
      <c r="N337" s="200" t="s">
        <v>779</v>
      </c>
      <c r="O337" s="81">
        <v>5.53</v>
      </c>
      <c r="P337" s="87">
        <v>10</v>
      </c>
      <c r="Q337" s="45" t="s">
        <v>37</v>
      </c>
      <c r="R337" s="62"/>
    </row>
    <row r="338" s="7" customFormat="1" ht="82" hidden="1" customHeight="1" spans="1:18">
      <c r="A338" s="108" t="s">
        <v>759</v>
      </c>
      <c r="B338" s="106" t="s">
        <v>30</v>
      </c>
      <c r="C338" s="177" t="s">
        <v>780</v>
      </c>
      <c r="D338" s="108" t="s">
        <v>32</v>
      </c>
      <c r="E338" s="106">
        <v>9</v>
      </c>
      <c r="F338" s="106">
        <v>5</v>
      </c>
      <c r="G338" s="107">
        <f t="shared" ref="G338:G343" si="20">F338/E338</f>
        <v>0.555555555555556</v>
      </c>
      <c r="H338" s="71" t="s">
        <v>781</v>
      </c>
      <c r="I338" s="192" t="s">
        <v>782</v>
      </c>
      <c r="J338" s="106">
        <v>18.17</v>
      </c>
      <c r="K338" s="106">
        <v>13.48</v>
      </c>
      <c r="L338" s="106" t="s">
        <v>37</v>
      </c>
      <c r="M338" s="201">
        <f t="shared" ref="M338:M343" si="21">J338/(J338+K338)</f>
        <v>0.574091627172196</v>
      </c>
      <c r="N338" s="200" t="s">
        <v>783</v>
      </c>
      <c r="O338" s="81">
        <v>2.94</v>
      </c>
      <c r="P338" s="87">
        <v>34</v>
      </c>
      <c r="Q338" s="87" t="s">
        <v>37</v>
      </c>
      <c r="R338" s="222" t="s">
        <v>764</v>
      </c>
    </row>
    <row r="339" s="1" customFormat="1" ht="82" hidden="1" customHeight="1" spans="1:18">
      <c r="A339" s="178"/>
      <c r="B339" s="179"/>
      <c r="C339" s="180"/>
      <c r="D339" s="178"/>
      <c r="E339" s="179"/>
      <c r="F339" s="179"/>
      <c r="G339" s="171"/>
      <c r="H339" s="175"/>
      <c r="I339" s="195"/>
      <c r="J339" s="179"/>
      <c r="K339" s="179"/>
      <c r="L339" s="179"/>
      <c r="M339" s="202"/>
      <c r="N339" s="194" t="s">
        <v>784</v>
      </c>
      <c r="O339" s="99">
        <v>4.08</v>
      </c>
      <c r="P339" s="45">
        <v>29</v>
      </c>
      <c r="Q339" s="87" t="s">
        <v>37</v>
      </c>
      <c r="R339" s="103"/>
    </row>
    <row r="340" s="1" customFormat="1" ht="82" hidden="1" customHeight="1" spans="1:18">
      <c r="A340" s="111"/>
      <c r="B340" s="109"/>
      <c r="C340" s="181"/>
      <c r="D340" s="111"/>
      <c r="E340" s="109"/>
      <c r="F340" s="109"/>
      <c r="G340" s="110"/>
      <c r="H340" s="176"/>
      <c r="I340" s="197"/>
      <c r="J340" s="109"/>
      <c r="K340" s="109"/>
      <c r="L340" s="109"/>
      <c r="M340" s="203"/>
      <c r="N340" s="194" t="s">
        <v>785</v>
      </c>
      <c r="O340" s="99">
        <v>6.46</v>
      </c>
      <c r="P340" s="45">
        <v>67</v>
      </c>
      <c r="Q340" s="87" t="s">
        <v>37</v>
      </c>
      <c r="R340" s="104"/>
    </row>
    <row r="341" s="1" customFormat="1" ht="120" hidden="1" spans="1:18">
      <c r="A341" s="56" t="s">
        <v>759</v>
      </c>
      <c r="B341" s="99" t="s">
        <v>30</v>
      </c>
      <c r="C341" s="56" t="s">
        <v>786</v>
      </c>
      <c r="D341" s="56" t="s">
        <v>25</v>
      </c>
      <c r="E341" s="99">
        <v>13</v>
      </c>
      <c r="F341" s="99">
        <v>7</v>
      </c>
      <c r="G341" s="32">
        <f t="shared" si="20"/>
        <v>0.538461538461538</v>
      </c>
      <c r="H341" s="182" t="s">
        <v>787</v>
      </c>
      <c r="I341" s="204" t="s">
        <v>788</v>
      </c>
      <c r="J341" s="99">
        <v>25.34</v>
      </c>
      <c r="K341" s="99">
        <v>0</v>
      </c>
      <c r="L341" s="99" t="s">
        <v>37</v>
      </c>
      <c r="M341" s="101">
        <f t="shared" si="21"/>
        <v>1</v>
      </c>
      <c r="N341" s="194" t="s">
        <v>789</v>
      </c>
      <c r="O341" s="99">
        <v>0</v>
      </c>
      <c r="P341" s="45" t="s">
        <v>789</v>
      </c>
      <c r="Q341" s="45" t="s">
        <v>789</v>
      </c>
      <c r="R341" s="45" t="s">
        <v>790</v>
      </c>
    </row>
    <row r="342" s="1" customFormat="1" ht="30" hidden="1" spans="1:18">
      <c r="A342" s="56" t="s">
        <v>759</v>
      </c>
      <c r="B342" s="99" t="s">
        <v>158</v>
      </c>
      <c r="C342" s="56" t="s">
        <v>791</v>
      </c>
      <c r="D342" s="56" t="s">
        <v>25</v>
      </c>
      <c r="E342" s="99">
        <v>8</v>
      </c>
      <c r="F342" s="99">
        <v>6</v>
      </c>
      <c r="G342" s="32">
        <f t="shared" si="20"/>
        <v>0.75</v>
      </c>
      <c r="H342" s="174" t="s">
        <v>792</v>
      </c>
      <c r="I342" s="204" t="s">
        <v>788</v>
      </c>
      <c r="J342" s="99">
        <v>17.14</v>
      </c>
      <c r="K342" s="99">
        <v>0</v>
      </c>
      <c r="L342" s="99" t="s">
        <v>37</v>
      </c>
      <c r="M342" s="101">
        <f t="shared" si="21"/>
        <v>1</v>
      </c>
      <c r="N342" s="194" t="s">
        <v>789</v>
      </c>
      <c r="O342" s="99">
        <v>0</v>
      </c>
      <c r="P342" s="45" t="s">
        <v>789</v>
      </c>
      <c r="Q342" s="45" t="s">
        <v>789</v>
      </c>
      <c r="R342" s="45" t="s">
        <v>764</v>
      </c>
    </row>
    <row r="343" s="1" customFormat="1" ht="83" hidden="1" customHeight="1" spans="1:18">
      <c r="A343" s="125" t="s">
        <v>759</v>
      </c>
      <c r="B343" s="126" t="s">
        <v>30</v>
      </c>
      <c r="C343" s="125" t="s">
        <v>793</v>
      </c>
      <c r="D343" s="125" t="s">
        <v>32</v>
      </c>
      <c r="E343" s="126">
        <v>11</v>
      </c>
      <c r="F343" s="126">
        <v>3</v>
      </c>
      <c r="G343" s="107">
        <f t="shared" si="20"/>
        <v>0.272727272727273</v>
      </c>
      <c r="H343" s="170" t="s">
        <v>794</v>
      </c>
      <c r="I343" s="192" t="s">
        <v>795</v>
      </c>
      <c r="J343" s="126">
        <v>16.92</v>
      </c>
      <c r="K343" s="126">
        <v>4.99</v>
      </c>
      <c r="L343" s="126" t="s">
        <v>37</v>
      </c>
      <c r="M343" s="193">
        <f t="shared" si="21"/>
        <v>0.772250114103149</v>
      </c>
      <c r="N343" s="194" t="s">
        <v>796</v>
      </c>
      <c r="O343" s="99">
        <v>2.24</v>
      </c>
      <c r="P343" s="45">
        <v>24</v>
      </c>
      <c r="Q343" s="99" t="s">
        <v>37</v>
      </c>
      <c r="R343" s="60" t="s">
        <v>764</v>
      </c>
    </row>
    <row r="344" s="1" customFormat="1" ht="83" hidden="1" customHeight="1" spans="1:18">
      <c r="A344" s="133"/>
      <c r="B344" s="134"/>
      <c r="C344" s="133"/>
      <c r="D344" s="133"/>
      <c r="E344" s="134"/>
      <c r="F344" s="134"/>
      <c r="G344" s="110"/>
      <c r="H344" s="173"/>
      <c r="I344" s="197"/>
      <c r="J344" s="134"/>
      <c r="K344" s="134"/>
      <c r="L344" s="134"/>
      <c r="M344" s="198"/>
      <c r="N344" s="194" t="s">
        <v>797</v>
      </c>
      <c r="O344" s="99">
        <v>2.75</v>
      </c>
      <c r="P344" s="45">
        <v>39</v>
      </c>
      <c r="Q344" s="99" t="s">
        <v>37</v>
      </c>
      <c r="R344" s="62"/>
    </row>
    <row r="345" s="1" customFormat="1" ht="67" hidden="1" customHeight="1" spans="1:18">
      <c r="A345" s="125" t="s">
        <v>759</v>
      </c>
      <c r="B345" s="126" t="s">
        <v>158</v>
      </c>
      <c r="C345" s="125" t="s">
        <v>798</v>
      </c>
      <c r="D345" s="125" t="s">
        <v>32</v>
      </c>
      <c r="E345" s="126">
        <v>7</v>
      </c>
      <c r="F345" s="126">
        <v>2</v>
      </c>
      <c r="G345" s="107">
        <f t="shared" ref="G345:G357" si="22">F345/E345</f>
        <v>0.285714285714286</v>
      </c>
      <c r="H345" s="170" t="s">
        <v>799</v>
      </c>
      <c r="I345" s="192" t="s">
        <v>800</v>
      </c>
      <c r="J345" s="126">
        <v>13.42</v>
      </c>
      <c r="K345" s="126">
        <v>8.18</v>
      </c>
      <c r="L345" s="126" t="s">
        <v>37</v>
      </c>
      <c r="M345" s="193">
        <f t="shared" ref="M345:M357" si="23">J345/(J345+K345)</f>
        <v>0.621296296296296</v>
      </c>
      <c r="N345" s="194" t="s">
        <v>801</v>
      </c>
      <c r="O345" s="99">
        <v>2.84</v>
      </c>
      <c r="P345" s="45">
        <v>26</v>
      </c>
      <c r="Q345" s="99" t="s">
        <v>37</v>
      </c>
      <c r="R345" s="60" t="s">
        <v>764</v>
      </c>
    </row>
    <row r="346" s="1" customFormat="1" ht="67" hidden="1" customHeight="1" spans="1:18">
      <c r="A346" s="129"/>
      <c r="B346" s="130"/>
      <c r="C346" s="129"/>
      <c r="D346" s="129"/>
      <c r="E346" s="130"/>
      <c r="F346" s="130"/>
      <c r="G346" s="171"/>
      <c r="H346" s="172"/>
      <c r="I346" s="195"/>
      <c r="J346" s="130"/>
      <c r="K346" s="130"/>
      <c r="L346" s="130"/>
      <c r="M346" s="196"/>
      <c r="N346" s="194" t="s">
        <v>802</v>
      </c>
      <c r="O346" s="99">
        <v>2.36</v>
      </c>
      <c r="P346" s="45">
        <v>57</v>
      </c>
      <c r="Q346" s="99" t="s">
        <v>37</v>
      </c>
      <c r="R346" s="61"/>
    </row>
    <row r="347" s="1" customFormat="1" ht="67" hidden="1" customHeight="1" spans="1:18">
      <c r="A347" s="133"/>
      <c r="B347" s="134"/>
      <c r="C347" s="133"/>
      <c r="D347" s="133"/>
      <c r="E347" s="134"/>
      <c r="F347" s="134"/>
      <c r="G347" s="110"/>
      <c r="H347" s="173"/>
      <c r="I347" s="197"/>
      <c r="J347" s="134"/>
      <c r="K347" s="134"/>
      <c r="L347" s="134"/>
      <c r="M347" s="198"/>
      <c r="N347" s="194" t="s">
        <v>803</v>
      </c>
      <c r="O347" s="99">
        <v>2.98</v>
      </c>
      <c r="P347" s="45">
        <v>38</v>
      </c>
      <c r="Q347" s="99" t="s">
        <v>37</v>
      </c>
      <c r="R347" s="62"/>
    </row>
    <row r="348" s="1" customFormat="1" ht="63" hidden="1" customHeight="1" spans="1:18">
      <c r="A348" s="125" t="s">
        <v>759</v>
      </c>
      <c r="B348" s="126" t="s">
        <v>30</v>
      </c>
      <c r="C348" s="125" t="s">
        <v>804</v>
      </c>
      <c r="D348" s="125" t="s">
        <v>32</v>
      </c>
      <c r="E348" s="126">
        <v>12</v>
      </c>
      <c r="F348" s="126">
        <v>4</v>
      </c>
      <c r="G348" s="107">
        <f t="shared" si="22"/>
        <v>0.333333333333333</v>
      </c>
      <c r="H348" s="170" t="s">
        <v>805</v>
      </c>
      <c r="I348" s="192" t="s">
        <v>806</v>
      </c>
      <c r="J348" s="126">
        <v>16.73</v>
      </c>
      <c r="K348" s="205">
        <v>5.94</v>
      </c>
      <c r="L348" s="206" t="s">
        <v>37</v>
      </c>
      <c r="M348" s="193">
        <f t="shared" si="23"/>
        <v>0.737979708866343</v>
      </c>
      <c r="N348" s="194" t="s">
        <v>807</v>
      </c>
      <c r="O348" s="99">
        <v>5.08</v>
      </c>
      <c r="P348" s="45">
        <v>46</v>
      </c>
      <c r="Q348" s="99" t="s">
        <v>37</v>
      </c>
      <c r="R348" s="60" t="s">
        <v>764</v>
      </c>
    </row>
    <row r="349" s="1" customFormat="1" ht="63" hidden="1" customHeight="1" spans="1:18">
      <c r="A349" s="133"/>
      <c r="B349" s="134"/>
      <c r="C349" s="133"/>
      <c r="D349" s="133"/>
      <c r="E349" s="134"/>
      <c r="F349" s="134"/>
      <c r="G349" s="110"/>
      <c r="H349" s="173"/>
      <c r="I349" s="197"/>
      <c r="J349" s="134"/>
      <c r="K349" s="207"/>
      <c r="L349" s="208"/>
      <c r="M349" s="198"/>
      <c r="N349" s="194" t="s">
        <v>808</v>
      </c>
      <c r="O349" s="99">
        <v>0.86</v>
      </c>
      <c r="P349" s="45">
        <v>2</v>
      </c>
      <c r="Q349" s="99" t="s">
        <v>37</v>
      </c>
      <c r="R349" s="62"/>
    </row>
    <row r="350" s="1" customFormat="1" ht="45" hidden="1" spans="1:18">
      <c r="A350" s="56" t="s">
        <v>759</v>
      </c>
      <c r="B350" s="99" t="s">
        <v>23</v>
      </c>
      <c r="C350" s="56" t="s">
        <v>809</v>
      </c>
      <c r="D350" s="56" t="s">
        <v>25</v>
      </c>
      <c r="E350" s="99">
        <v>6</v>
      </c>
      <c r="F350" s="99">
        <v>4</v>
      </c>
      <c r="G350" s="32">
        <f t="shared" si="22"/>
        <v>0.666666666666667</v>
      </c>
      <c r="H350" s="183" t="s">
        <v>810</v>
      </c>
      <c r="I350" s="174" t="s">
        <v>788</v>
      </c>
      <c r="J350" s="99">
        <v>4.29</v>
      </c>
      <c r="K350" s="99">
        <v>0</v>
      </c>
      <c r="L350" s="194" t="s">
        <v>789</v>
      </c>
      <c r="M350" s="101">
        <f t="shared" si="23"/>
        <v>1</v>
      </c>
      <c r="N350" s="194" t="s">
        <v>789</v>
      </c>
      <c r="O350" s="99">
        <v>0</v>
      </c>
      <c r="P350" s="45" t="s">
        <v>789</v>
      </c>
      <c r="Q350" s="99" t="s">
        <v>789</v>
      </c>
      <c r="R350" s="45" t="s">
        <v>764</v>
      </c>
    </row>
    <row r="351" s="1" customFormat="1" ht="30" hidden="1" spans="1:18">
      <c r="A351" s="56" t="s">
        <v>759</v>
      </c>
      <c r="B351" s="99" t="s">
        <v>23</v>
      </c>
      <c r="C351" s="56" t="s">
        <v>811</v>
      </c>
      <c r="D351" s="56" t="s">
        <v>25</v>
      </c>
      <c r="E351" s="99">
        <v>6</v>
      </c>
      <c r="F351" s="99">
        <v>5</v>
      </c>
      <c r="G351" s="32">
        <f t="shared" si="22"/>
        <v>0.833333333333333</v>
      </c>
      <c r="H351" s="174" t="s">
        <v>812</v>
      </c>
      <c r="I351" s="174" t="s">
        <v>788</v>
      </c>
      <c r="J351" s="100">
        <v>13</v>
      </c>
      <c r="K351" s="99">
        <v>0</v>
      </c>
      <c r="L351" s="194" t="s">
        <v>789</v>
      </c>
      <c r="M351" s="101">
        <f t="shared" si="23"/>
        <v>1</v>
      </c>
      <c r="N351" s="194" t="s">
        <v>789</v>
      </c>
      <c r="O351" s="99">
        <v>0</v>
      </c>
      <c r="P351" s="45" t="s">
        <v>789</v>
      </c>
      <c r="Q351" s="99" t="s">
        <v>789</v>
      </c>
      <c r="R351" s="45" t="s">
        <v>764</v>
      </c>
    </row>
    <row r="352" s="1" customFormat="1" ht="60.5" hidden="1" spans="1:18">
      <c r="A352" s="56" t="s">
        <v>759</v>
      </c>
      <c r="B352" s="99" t="s">
        <v>30</v>
      </c>
      <c r="C352" s="56" t="s">
        <v>813</v>
      </c>
      <c r="D352" s="56" t="s">
        <v>25</v>
      </c>
      <c r="E352" s="99">
        <v>10</v>
      </c>
      <c r="F352" s="99">
        <v>7</v>
      </c>
      <c r="G352" s="32">
        <f t="shared" si="22"/>
        <v>0.7</v>
      </c>
      <c r="H352" s="174" t="s">
        <v>814</v>
      </c>
      <c r="I352" s="174" t="s">
        <v>788</v>
      </c>
      <c r="J352" s="99">
        <v>32.75</v>
      </c>
      <c r="K352" s="99">
        <v>0</v>
      </c>
      <c r="L352" s="194" t="s">
        <v>789</v>
      </c>
      <c r="M352" s="101">
        <f t="shared" si="23"/>
        <v>1</v>
      </c>
      <c r="N352" s="194" t="s">
        <v>789</v>
      </c>
      <c r="O352" s="99">
        <v>0</v>
      </c>
      <c r="P352" s="45" t="s">
        <v>789</v>
      </c>
      <c r="Q352" s="99" t="s">
        <v>789</v>
      </c>
      <c r="R352" s="45" t="s">
        <v>790</v>
      </c>
    </row>
    <row r="353" s="1" customFormat="1" ht="30" hidden="1" spans="1:18">
      <c r="A353" s="56" t="s">
        <v>759</v>
      </c>
      <c r="B353" s="99" t="s">
        <v>158</v>
      </c>
      <c r="C353" s="56" t="s">
        <v>815</v>
      </c>
      <c r="D353" s="56" t="s">
        <v>25</v>
      </c>
      <c r="E353" s="99">
        <v>6</v>
      </c>
      <c r="F353" s="99">
        <v>4</v>
      </c>
      <c r="G353" s="32">
        <f t="shared" si="22"/>
        <v>0.666666666666667</v>
      </c>
      <c r="H353" s="182" t="s">
        <v>816</v>
      </c>
      <c r="I353" s="174" t="s">
        <v>788</v>
      </c>
      <c r="J353" s="99">
        <v>12.09</v>
      </c>
      <c r="K353" s="99">
        <v>0</v>
      </c>
      <c r="L353" s="194" t="s">
        <v>789</v>
      </c>
      <c r="M353" s="101">
        <f t="shared" si="23"/>
        <v>1</v>
      </c>
      <c r="N353" s="194" t="s">
        <v>789</v>
      </c>
      <c r="O353" s="99">
        <v>0</v>
      </c>
      <c r="P353" s="45" t="s">
        <v>789</v>
      </c>
      <c r="Q353" s="99" t="s">
        <v>789</v>
      </c>
      <c r="R353" s="45" t="s">
        <v>764</v>
      </c>
    </row>
    <row r="354" s="1" customFormat="1" ht="15" hidden="1" spans="1:18">
      <c r="A354" s="56" t="s">
        <v>759</v>
      </c>
      <c r="B354" s="99" t="s">
        <v>158</v>
      </c>
      <c r="C354" s="56" t="s">
        <v>817</v>
      </c>
      <c r="D354" s="56" t="s">
        <v>25</v>
      </c>
      <c r="E354" s="99">
        <v>4</v>
      </c>
      <c r="F354" s="99">
        <v>3</v>
      </c>
      <c r="G354" s="32">
        <f t="shared" si="22"/>
        <v>0.75</v>
      </c>
      <c r="H354" s="174" t="s">
        <v>818</v>
      </c>
      <c r="I354" s="174" t="s">
        <v>788</v>
      </c>
      <c r="J354" s="99">
        <v>10.59</v>
      </c>
      <c r="K354" s="99">
        <v>0</v>
      </c>
      <c r="L354" s="194" t="s">
        <v>789</v>
      </c>
      <c r="M354" s="101">
        <f t="shared" si="23"/>
        <v>1</v>
      </c>
      <c r="N354" s="194" t="s">
        <v>789</v>
      </c>
      <c r="O354" s="99">
        <v>0</v>
      </c>
      <c r="P354" s="45" t="s">
        <v>789</v>
      </c>
      <c r="Q354" s="99" t="s">
        <v>789</v>
      </c>
      <c r="R354" s="45" t="s">
        <v>764</v>
      </c>
    </row>
    <row r="355" s="1" customFormat="1" ht="90" hidden="1" spans="1:18">
      <c r="A355" s="56" t="s">
        <v>759</v>
      </c>
      <c r="B355" s="99" t="s">
        <v>30</v>
      </c>
      <c r="C355" s="56" t="s">
        <v>819</v>
      </c>
      <c r="D355" s="56" t="s">
        <v>25</v>
      </c>
      <c r="E355" s="99">
        <v>16</v>
      </c>
      <c r="F355" s="99">
        <v>11</v>
      </c>
      <c r="G355" s="32">
        <f t="shared" si="22"/>
        <v>0.6875</v>
      </c>
      <c r="H355" s="174" t="s">
        <v>820</v>
      </c>
      <c r="I355" s="174" t="s">
        <v>788</v>
      </c>
      <c r="J355" s="99">
        <v>50.01</v>
      </c>
      <c r="K355" s="99">
        <v>0</v>
      </c>
      <c r="L355" s="194" t="s">
        <v>789</v>
      </c>
      <c r="M355" s="101">
        <f t="shared" si="23"/>
        <v>1</v>
      </c>
      <c r="N355" s="194" t="s">
        <v>789</v>
      </c>
      <c r="O355" s="99">
        <v>0</v>
      </c>
      <c r="P355" s="45" t="s">
        <v>789</v>
      </c>
      <c r="Q355" s="99" t="s">
        <v>789</v>
      </c>
      <c r="R355" s="45" t="s">
        <v>821</v>
      </c>
    </row>
    <row r="356" s="1" customFormat="1" ht="150" hidden="1" spans="1:18">
      <c r="A356" s="56" t="s">
        <v>759</v>
      </c>
      <c r="B356" s="99" t="s">
        <v>30</v>
      </c>
      <c r="C356" s="56" t="s">
        <v>822</v>
      </c>
      <c r="D356" s="56" t="s">
        <v>32</v>
      </c>
      <c r="E356" s="99">
        <v>12</v>
      </c>
      <c r="F356" s="99">
        <v>7</v>
      </c>
      <c r="G356" s="32">
        <f t="shared" si="22"/>
        <v>0.583333333333333</v>
      </c>
      <c r="H356" s="174" t="s">
        <v>823</v>
      </c>
      <c r="I356" s="209" t="s">
        <v>824</v>
      </c>
      <c r="J356" s="99">
        <v>26.62</v>
      </c>
      <c r="K356" s="99">
        <v>1.23</v>
      </c>
      <c r="L356" s="194" t="s">
        <v>37</v>
      </c>
      <c r="M356" s="101">
        <f t="shared" si="23"/>
        <v>0.955834829443447</v>
      </c>
      <c r="N356" s="194" t="s">
        <v>825</v>
      </c>
      <c r="O356" s="99">
        <v>1.23</v>
      </c>
      <c r="P356" s="45">
        <v>19</v>
      </c>
      <c r="Q356" s="99" t="s">
        <v>37</v>
      </c>
      <c r="R356" s="45" t="s">
        <v>764</v>
      </c>
    </row>
    <row r="357" s="1" customFormat="1" ht="76" hidden="1" customHeight="1" spans="1:18">
      <c r="A357" s="125" t="s">
        <v>759</v>
      </c>
      <c r="B357" s="126" t="s">
        <v>30</v>
      </c>
      <c r="C357" s="125" t="s">
        <v>826</v>
      </c>
      <c r="D357" s="125" t="s">
        <v>32</v>
      </c>
      <c r="E357" s="126">
        <v>13</v>
      </c>
      <c r="F357" s="126">
        <v>5</v>
      </c>
      <c r="G357" s="107">
        <f t="shared" si="22"/>
        <v>0.384615384615385</v>
      </c>
      <c r="H357" s="170" t="s">
        <v>827</v>
      </c>
      <c r="I357" s="210" t="s">
        <v>828</v>
      </c>
      <c r="J357" s="126">
        <v>25.01</v>
      </c>
      <c r="K357" s="126">
        <v>4.82</v>
      </c>
      <c r="L357" s="211" t="s">
        <v>37</v>
      </c>
      <c r="M357" s="193">
        <f t="shared" si="23"/>
        <v>0.83841770030171</v>
      </c>
      <c r="N357" s="194" t="s">
        <v>829</v>
      </c>
      <c r="O357" s="99">
        <v>2.58</v>
      </c>
      <c r="P357" s="45">
        <v>28</v>
      </c>
      <c r="Q357" s="99" t="s">
        <v>37</v>
      </c>
      <c r="R357" s="60" t="s">
        <v>764</v>
      </c>
    </row>
    <row r="358" s="1" customFormat="1" ht="76" hidden="1" customHeight="1" spans="1:18">
      <c r="A358" s="133"/>
      <c r="B358" s="134"/>
      <c r="C358" s="133"/>
      <c r="D358" s="133"/>
      <c r="E358" s="134"/>
      <c r="F358" s="134"/>
      <c r="G358" s="110"/>
      <c r="H358" s="173"/>
      <c r="I358" s="212"/>
      <c r="J358" s="134"/>
      <c r="K358" s="134"/>
      <c r="L358" s="213"/>
      <c r="M358" s="198"/>
      <c r="N358" s="194" t="s">
        <v>830</v>
      </c>
      <c r="O358" s="99">
        <v>2.24</v>
      </c>
      <c r="P358" s="45">
        <v>22</v>
      </c>
      <c r="Q358" s="99" t="s">
        <v>37</v>
      </c>
      <c r="R358" s="62"/>
    </row>
    <row r="359" s="1" customFormat="1" ht="60" hidden="1" spans="1:18">
      <c r="A359" s="56" t="s">
        <v>759</v>
      </c>
      <c r="B359" s="99" t="s">
        <v>30</v>
      </c>
      <c r="C359" s="56" t="s">
        <v>831</v>
      </c>
      <c r="D359" s="56" t="s">
        <v>25</v>
      </c>
      <c r="E359" s="99">
        <v>21</v>
      </c>
      <c r="F359" s="99">
        <v>17</v>
      </c>
      <c r="G359" s="32">
        <f t="shared" ref="G359:G361" si="24">F359/E359</f>
        <v>0.80952380952381</v>
      </c>
      <c r="H359" s="174" t="s">
        <v>832</v>
      </c>
      <c r="I359" s="174" t="s">
        <v>788</v>
      </c>
      <c r="J359" s="99">
        <v>56.62</v>
      </c>
      <c r="K359" s="99">
        <v>0</v>
      </c>
      <c r="L359" s="194" t="s">
        <v>789</v>
      </c>
      <c r="M359" s="101">
        <f t="shared" ref="M359:M361" si="25">J359/(J359+K359)</f>
        <v>1</v>
      </c>
      <c r="N359" s="194" t="s">
        <v>789</v>
      </c>
      <c r="O359" s="99">
        <v>0</v>
      </c>
      <c r="P359" s="45" t="s">
        <v>789</v>
      </c>
      <c r="Q359" s="99" t="s">
        <v>789</v>
      </c>
      <c r="R359" s="45" t="s">
        <v>821</v>
      </c>
    </row>
    <row r="360" s="1" customFormat="1" ht="182" hidden="1" customHeight="1" spans="1:18">
      <c r="A360" s="56" t="s">
        <v>759</v>
      </c>
      <c r="B360" s="99" t="s">
        <v>30</v>
      </c>
      <c r="C360" s="56" t="s">
        <v>833</v>
      </c>
      <c r="D360" s="56" t="s">
        <v>25</v>
      </c>
      <c r="E360" s="99">
        <v>17</v>
      </c>
      <c r="F360" s="99">
        <v>3</v>
      </c>
      <c r="G360" s="32">
        <f t="shared" si="24"/>
        <v>0.176470588235294</v>
      </c>
      <c r="H360" s="174" t="s">
        <v>834</v>
      </c>
      <c r="I360" s="174" t="s">
        <v>788</v>
      </c>
      <c r="J360" s="99">
        <v>28.42</v>
      </c>
      <c r="K360" s="99">
        <v>0</v>
      </c>
      <c r="L360" s="194" t="s">
        <v>789</v>
      </c>
      <c r="M360" s="101">
        <f t="shared" si="25"/>
        <v>1</v>
      </c>
      <c r="N360" s="194" t="s">
        <v>789</v>
      </c>
      <c r="O360" s="99">
        <v>0</v>
      </c>
      <c r="P360" s="45" t="s">
        <v>789</v>
      </c>
      <c r="Q360" s="99" t="s">
        <v>789</v>
      </c>
      <c r="R360" s="45" t="s">
        <v>790</v>
      </c>
    </row>
    <row r="361" s="1" customFormat="1" ht="33" hidden="1" customHeight="1" spans="1:18">
      <c r="A361" s="125" t="s">
        <v>759</v>
      </c>
      <c r="B361" s="126" t="s">
        <v>30</v>
      </c>
      <c r="C361" s="125" t="s">
        <v>835</v>
      </c>
      <c r="D361" s="125" t="s">
        <v>32</v>
      </c>
      <c r="E361" s="126">
        <v>12</v>
      </c>
      <c r="F361" s="126">
        <v>2</v>
      </c>
      <c r="G361" s="107">
        <f t="shared" si="24"/>
        <v>0.166666666666667</v>
      </c>
      <c r="H361" s="71" t="s">
        <v>836</v>
      </c>
      <c r="I361" s="210" t="s">
        <v>837</v>
      </c>
      <c r="J361" s="126">
        <v>12.41</v>
      </c>
      <c r="K361" s="126">
        <v>7.79</v>
      </c>
      <c r="L361" s="211" t="s">
        <v>35</v>
      </c>
      <c r="M361" s="193">
        <f t="shared" si="25"/>
        <v>0.614356435643564</v>
      </c>
      <c r="N361" s="194" t="s">
        <v>838</v>
      </c>
      <c r="O361" s="99">
        <v>7.4</v>
      </c>
      <c r="P361" s="45">
        <v>0</v>
      </c>
      <c r="Q361" s="99" t="s">
        <v>44</v>
      </c>
      <c r="R361" s="60" t="s">
        <v>821</v>
      </c>
    </row>
    <row r="362" s="1" customFormat="1" ht="33" hidden="1" customHeight="1" spans="1:18">
      <c r="A362" s="129"/>
      <c r="B362" s="130"/>
      <c r="C362" s="129"/>
      <c r="D362" s="129"/>
      <c r="E362" s="130"/>
      <c r="F362" s="130"/>
      <c r="G362" s="171"/>
      <c r="H362" s="175"/>
      <c r="I362" s="214"/>
      <c r="J362" s="130"/>
      <c r="K362" s="130"/>
      <c r="L362" s="215"/>
      <c r="M362" s="196"/>
      <c r="N362" s="194" t="s">
        <v>839</v>
      </c>
      <c r="O362" s="99">
        <v>0.12</v>
      </c>
      <c r="P362" s="45">
        <v>2</v>
      </c>
      <c r="Q362" s="99" t="s">
        <v>37</v>
      </c>
      <c r="R362" s="61"/>
    </row>
    <row r="363" s="1" customFormat="1" ht="33" hidden="1" customHeight="1" spans="1:18">
      <c r="A363" s="133"/>
      <c r="B363" s="134"/>
      <c r="C363" s="133"/>
      <c r="D363" s="133"/>
      <c r="E363" s="134"/>
      <c r="F363" s="134"/>
      <c r="G363" s="110"/>
      <c r="H363" s="176"/>
      <c r="I363" s="212"/>
      <c r="J363" s="134"/>
      <c r="K363" s="134"/>
      <c r="L363" s="213"/>
      <c r="M363" s="198"/>
      <c r="N363" s="194" t="s">
        <v>840</v>
      </c>
      <c r="O363" s="99">
        <v>0.28</v>
      </c>
      <c r="P363" s="45">
        <v>14</v>
      </c>
      <c r="Q363" s="99" t="s">
        <v>37</v>
      </c>
      <c r="R363" s="62"/>
    </row>
    <row r="364" s="1" customFormat="1" ht="44" hidden="1" customHeight="1" spans="1:18">
      <c r="A364" s="125" t="s">
        <v>759</v>
      </c>
      <c r="B364" s="126" t="s">
        <v>30</v>
      </c>
      <c r="C364" s="125" t="s">
        <v>841</v>
      </c>
      <c r="D364" s="125" t="s">
        <v>32</v>
      </c>
      <c r="E364" s="126">
        <v>16</v>
      </c>
      <c r="F364" s="126">
        <v>14</v>
      </c>
      <c r="G364" s="107">
        <f>F364/E364</f>
        <v>0.875</v>
      </c>
      <c r="H364" s="184" t="s">
        <v>842</v>
      </c>
      <c r="I364" s="210" t="s">
        <v>843</v>
      </c>
      <c r="J364" s="216">
        <v>40.1</v>
      </c>
      <c r="K364" s="126">
        <v>19.42</v>
      </c>
      <c r="L364" s="211" t="s">
        <v>37</v>
      </c>
      <c r="M364" s="193">
        <f>J364/(J364+K364)</f>
        <v>0.67372311827957</v>
      </c>
      <c r="N364" s="194" t="s">
        <v>844</v>
      </c>
      <c r="O364" s="99">
        <v>6.09</v>
      </c>
      <c r="P364" s="45">
        <v>90</v>
      </c>
      <c r="Q364" s="99" t="s">
        <v>37</v>
      </c>
      <c r="R364" s="60" t="s">
        <v>821</v>
      </c>
    </row>
    <row r="365" s="1" customFormat="1" ht="44" hidden="1" customHeight="1" spans="1:18">
      <c r="A365" s="129"/>
      <c r="B365" s="130"/>
      <c r="C365" s="129"/>
      <c r="D365" s="129"/>
      <c r="E365" s="130"/>
      <c r="F365" s="130"/>
      <c r="G365" s="171"/>
      <c r="H365" s="185"/>
      <c r="I365" s="214"/>
      <c r="J365" s="217"/>
      <c r="K365" s="130"/>
      <c r="L365" s="215"/>
      <c r="M365" s="196"/>
      <c r="N365" s="194" t="s">
        <v>845</v>
      </c>
      <c r="O365" s="99">
        <v>4.38</v>
      </c>
      <c r="P365" s="45">
        <v>46</v>
      </c>
      <c r="Q365" s="99" t="s">
        <v>37</v>
      </c>
      <c r="R365" s="61"/>
    </row>
    <row r="366" s="1" customFormat="1" ht="44" hidden="1" customHeight="1" spans="1:18">
      <c r="A366" s="129"/>
      <c r="B366" s="130"/>
      <c r="C366" s="129"/>
      <c r="D366" s="129"/>
      <c r="E366" s="130"/>
      <c r="F366" s="130"/>
      <c r="G366" s="171"/>
      <c r="H366" s="185"/>
      <c r="I366" s="214"/>
      <c r="J366" s="217"/>
      <c r="K366" s="130"/>
      <c r="L366" s="215"/>
      <c r="M366" s="196"/>
      <c r="N366" s="194" t="s">
        <v>846</v>
      </c>
      <c r="O366" s="99">
        <v>3.84</v>
      </c>
      <c r="P366" s="45">
        <v>24</v>
      </c>
      <c r="Q366" s="99" t="s">
        <v>37</v>
      </c>
      <c r="R366" s="61"/>
    </row>
    <row r="367" s="1" customFormat="1" ht="44" hidden="1" customHeight="1" spans="1:18">
      <c r="A367" s="133"/>
      <c r="B367" s="134"/>
      <c r="C367" s="133"/>
      <c r="D367" s="133"/>
      <c r="E367" s="134"/>
      <c r="F367" s="134"/>
      <c r="G367" s="110"/>
      <c r="H367" s="186"/>
      <c r="I367" s="212"/>
      <c r="J367" s="218"/>
      <c r="K367" s="134"/>
      <c r="L367" s="213"/>
      <c r="M367" s="198"/>
      <c r="N367" s="194" t="s">
        <v>847</v>
      </c>
      <c r="O367" s="99">
        <v>5.11</v>
      </c>
      <c r="P367" s="45">
        <v>37</v>
      </c>
      <c r="Q367" s="99" t="s">
        <v>37</v>
      </c>
      <c r="R367" s="62"/>
    </row>
    <row r="368" s="1" customFormat="1" ht="47" hidden="1" customHeight="1" spans="1:18">
      <c r="A368" s="125" t="s">
        <v>759</v>
      </c>
      <c r="B368" s="126" t="s">
        <v>30</v>
      </c>
      <c r="C368" s="125" t="s">
        <v>848</v>
      </c>
      <c r="D368" s="125" t="s">
        <v>32</v>
      </c>
      <c r="E368" s="126">
        <v>31</v>
      </c>
      <c r="F368" s="126">
        <v>25</v>
      </c>
      <c r="G368" s="107">
        <f>F368/E368</f>
        <v>0.806451612903226</v>
      </c>
      <c r="H368" s="170" t="s">
        <v>849</v>
      </c>
      <c r="I368" s="210" t="s">
        <v>850</v>
      </c>
      <c r="J368" s="216">
        <v>47.25</v>
      </c>
      <c r="K368" s="126">
        <v>15.05</v>
      </c>
      <c r="L368" s="211" t="s">
        <v>37</v>
      </c>
      <c r="M368" s="193">
        <f>J368/(J368+K368)</f>
        <v>0.758426966292135</v>
      </c>
      <c r="N368" s="194" t="s">
        <v>851</v>
      </c>
      <c r="O368" s="99">
        <v>1.22</v>
      </c>
      <c r="P368" s="45">
        <v>13</v>
      </c>
      <c r="Q368" s="99" t="s">
        <v>37</v>
      </c>
      <c r="R368" s="60" t="s">
        <v>821</v>
      </c>
    </row>
    <row r="369" s="1" customFormat="1" ht="47" hidden="1" customHeight="1" spans="1:18">
      <c r="A369" s="129"/>
      <c r="B369" s="130"/>
      <c r="C369" s="129"/>
      <c r="D369" s="129"/>
      <c r="E369" s="130"/>
      <c r="F369" s="130"/>
      <c r="G369" s="171"/>
      <c r="H369" s="172"/>
      <c r="I369" s="214"/>
      <c r="J369" s="217"/>
      <c r="K369" s="130"/>
      <c r="L369" s="215"/>
      <c r="M369" s="196"/>
      <c r="N369" s="194" t="s">
        <v>852</v>
      </c>
      <c r="O369" s="99">
        <v>3.86</v>
      </c>
      <c r="P369" s="45">
        <v>23</v>
      </c>
      <c r="Q369" s="99" t="s">
        <v>37</v>
      </c>
      <c r="R369" s="61"/>
    </row>
    <row r="370" s="1" customFormat="1" ht="47" hidden="1" customHeight="1" spans="1:18">
      <c r="A370" s="129"/>
      <c r="B370" s="130"/>
      <c r="C370" s="129"/>
      <c r="D370" s="129"/>
      <c r="E370" s="130"/>
      <c r="F370" s="130"/>
      <c r="G370" s="171"/>
      <c r="H370" s="172"/>
      <c r="I370" s="214"/>
      <c r="J370" s="217"/>
      <c r="K370" s="130"/>
      <c r="L370" s="215"/>
      <c r="M370" s="196"/>
      <c r="N370" s="194" t="s">
        <v>853</v>
      </c>
      <c r="O370" s="99">
        <v>3.2</v>
      </c>
      <c r="P370" s="45">
        <v>24</v>
      </c>
      <c r="Q370" s="99" t="s">
        <v>37</v>
      </c>
      <c r="R370" s="61"/>
    </row>
    <row r="371" s="1" customFormat="1" ht="47" hidden="1" customHeight="1" spans="1:18">
      <c r="A371" s="129"/>
      <c r="B371" s="130"/>
      <c r="C371" s="129"/>
      <c r="D371" s="129"/>
      <c r="E371" s="130"/>
      <c r="F371" s="130"/>
      <c r="G371" s="171"/>
      <c r="H371" s="172"/>
      <c r="I371" s="214"/>
      <c r="J371" s="217"/>
      <c r="K371" s="130"/>
      <c r="L371" s="215"/>
      <c r="M371" s="196"/>
      <c r="N371" s="194" t="s">
        <v>854</v>
      </c>
      <c r="O371" s="99">
        <v>4.42</v>
      </c>
      <c r="P371" s="45">
        <v>26</v>
      </c>
      <c r="Q371" s="99" t="s">
        <v>37</v>
      </c>
      <c r="R371" s="61"/>
    </row>
    <row r="372" s="1" customFormat="1" ht="47" hidden="1" customHeight="1" spans="1:18">
      <c r="A372" s="133"/>
      <c r="B372" s="134"/>
      <c r="C372" s="133"/>
      <c r="D372" s="133"/>
      <c r="E372" s="134"/>
      <c r="F372" s="134"/>
      <c r="G372" s="110"/>
      <c r="H372" s="173"/>
      <c r="I372" s="212"/>
      <c r="J372" s="218"/>
      <c r="K372" s="134"/>
      <c r="L372" s="213"/>
      <c r="M372" s="198"/>
      <c r="N372" s="194" t="s">
        <v>855</v>
      </c>
      <c r="O372" s="99">
        <v>2.35</v>
      </c>
      <c r="P372" s="45">
        <v>8</v>
      </c>
      <c r="Q372" s="99" t="s">
        <v>37</v>
      </c>
      <c r="R372" s="62"/>
    </row>
    <row r="373" s="1" customFormat="1" ht="193" hidden="1" customHeight="1" spans="1:18">
      <c r="A373" s="56" t="s">
        <v>759</v>
      </c>
      <c r="B373" s="99" t="s">
        <v>30</v>
      </c>
      <c r="C373" s="56" t="s">
        <v>856</v>
      </c>
      <c r="D373" s="56" t="s">
        <v>25</v>
      </c>
      <c r="E373" s="99">
        <v>23</v>
      </c>
      <c r="F373" s="99">
        <v>17</v>
      </c>
      <c r="G373" s="32">
        <f t="shared" ref="G373:G378" si="26">F373/E373</f>
        <v>0.739130434782609</v>
      </c>
      <c r="H373" s="174" t="s">
        <v>857</v>
      </c>
      <c r="I373" s="182" t="s">
        <v>788</v>
      </c>
      <c r="J373" s="100">
        <v>27.67</v>
      </c>
      <c r="K373" s="99">
        <v>0</v>
      </c>
      <c r="L373" s="194" t="s">
        <v>789</v>
      </c>
      <c r="M373" s="101">
        <f t="shared" ref="M373:M378" si="27">J373/(J373+K373)</f>
        <v>1</v>
      </c>
      <c r="N373" s="194" t="s">
        <v>789</v>
      </c>
      <c r="O373" s="99">
        <v>0</v>
      </c>
      <c r="P373" s="45" t="s">
        <v>789</v>
      </c>
      <c r="Q373" s="99" t="s">
        <v>789</v>
      </c>
      <c r="R373" s="45" t="s">
        <v>764</v>
      </c>
    </row>
    <row r="374" s="1" customFormat="1" ht="94" hidden="1" customHeight="1" spans="1:18">
      <c r="A374" s="125" t="s">
        <v>759</v>
      </c>
      <c r="B374" s="126" t="s">
        <v>30</v>
      </c>
      <c r="C374" s="125" t="s">
        <v>858</v>
      </c>
      <c r="D374" s="125" t="s">
        <v>32</v>
      </c>
      <c r="E374" s="126">
        <v>24</v>
      </c>
      <c r="F374" s="126">
        <v>17</v>
      </c>
      <c r="G374" s="107">
        <f t="shared" si="26"/>
        <v>0.708333333333333</v>
      </c>
      <c r="H374" s="170" t="s">
        <v>859</v>
      </c>
      <c r="I374" s="210" t="s">
        <v>860</v>
      </c>
      <c r="J374" s="216">
        <v>40.79</v>
      </c>
      <c r="K374" s="126">
        <v>19.05</v>
      </c>
      <c r="L374" s="211" t="s">
        <v>37</v>
      </c>
      <c r="M374" s="193">
        <f t="shared" si="27"/>
        <v>0.681651069518717</v>
      </c>
      <c r="N374" s="194" t="s">
        <v>861</v>
      </c>
      <c r="O374" s="99" t="s">
        <v>862</v>
      </c>
      <c r="P374" s="45">
        <v>6</v>
      </c>
      <c r="Q374" s="99" t="s">
        <v>37</v>
      </c>
      <c r="R374" s="60" t="s">
        <v>821</v>
      </c>
    </row>
    <row r="375" s="1" customFormat="1" ht="94" hidden="1" customHeight="1" spans="1:18">
      <c r="A375" s="129"/>
      <c r="B375" s="130"/>
      <c r="C375" s="129"/>
      <c r="D375" s="129"/>
      <c r="E375" s="130"/>
      <c r="F375" s="130"/>
      <c r="G375" s="171"/>
      <c r="H375" s="172"/>
      <c r="I375" s="214"/>
      <c r="J375" s="217"/>
      <c r="K375" s="130"/>
      <c r="L375" s="215"/>
      <c r="M375" s="196"/>
      <c r="N375" s="194" t="s">
        <v>863</v>
      </c>
      <c r="O375" s="99">
        <v>6.02</v>
      </c>
      <c r="P375" s="45">
        <v>55</v>
      </c>
      <c r="Q375" s="99" t="s">
        <v>37</v>
      </c>
      <c r="R375" s="61"/>
    </row>
    <row r="376" s="1" customFormat="1" ht="94" hidden="1" customHeight="1" spans="1:18">
      <c r="A376" s="129"/>
      <c r="B376" s="130"/>
      <c r="C376" s="129"/>
      <c r="D376" s="129"/>
      <c r="E376" s="130"/>
      <c r="F376" s="130"/>
      <c r="G376" s="171"/>
      <c r="H376" s="172"/>
      <c r="I376" s="214"/>
      <c r="J376" s="217"/>
      <c r="K376" s="130"/>
      <c r="L376" s="215"/>
      <c r="M376" s="196"/>
      <c r="N376" s="194" t="s">
        <v>864</v>
      </c>
      <c r="O376" s="99">
        <v>3.34</v>
      </c>
      <c r="P376" s="45">
        <v>35</v>
      </c>
      <c r="Q376" s="99" t="s">
        <v>37</v>
      </c>
      <c r="R376" s="61"/>
    </row>
    <row r="377" s="1" customFormat="1" ht="94" hidden="1" customHeight="1" spans="1:18">
      <c r="A377" s="133"/>
      <c r="B377" s="134"/>
      <c r="C377" s="133"/>
      <c r="D377" s="133"/>
      <c r="E377" s="134"/>
      <c r="F377" s="134"/>
      <c r="G377" s="110"/>
      <c r="H377" s="173"/>
      <c r="I377" s="212"/>
      <c r="J377" s="218"/>
      <c r="K377" s="134"/>
      <c r="L377" s="213"/>
      <c r="M377" s="198"/>
      <c r="N377" s="194" t="s">
        <v>865</v>
      </c>
      <c r="O377" s="99">
        <v>2.84</v>
      </c>
      <c r="P377" s="45">
        <v>2</v>
      </c>
      <c r="Q377" s="99" t="s">
        <v>37</v>
      </c>
      <c r="R377" s="62"/>
    </row>
    <row r="378" s="1" customFormat="1" ht="88" hidden="1" customHeight="1" spans="1:18">
      <c r="A378" s="125" t="s">
        <v>759</v>
      </c>
      <c r="B378" s="126" t="s">
        <v>30</v>
      </c>
      <c r="C378" s="125" t="s">
        <v>866</v>
      </c>
      <c r="D378" s="125" t="s">
        <v>32</v>
      </c>
      <c r="E378" s="126">
        <v>11</v>
      </c>
      <c r="F378" s="126">
        <v>8</v>
      </c>
      <c r="G378" s="107">
        <f t="shared" si="26"/>
        <v>0.727272727272727</v>
      </c>
      <c r="H378" s="71" t="s">
        <v>867</v>
      </c>
      <c r="I378" s="210" t="s">
        <v>868</v>
      </c>
      <c r="J378" s="126">
        <v>19.95</v>
      </c>
      <c r="K378" s="126">
        <v>9.59</v>
      </c>
      <c r="L378" s="211" t="s">
        <v>37</v>
      </c>
      <c r="M378" s="193">
        <f t="shared" si="27"/>
        <v>0.675355450236967</v>
      </c>
      <c r="N378" s="194" t="s">
        <v>869</v>
      </c>
      <c r="O378" s="99">
        <v>6.22</v>
      </c>
      <c r="P378" s="45">
        <v>51</v>
      </c>
      <c r="Q378" s="99" t="s">
        <v>37</v>
      </c>
      <c r="R378" s="60" t="s">
        <v>764</v>
      </c>
    </row>
    <row r="379" s="1" customFormat="1" ht="88" hidden="1" customHeight="1" spans="1:18">
      <c r="A379" s="133"/>
      <c r="B379" s="134"/>
      <c r="C379" s="133"/>
      <c r="D379" s="133"/>
      <c r="E379" s="134"/>
      <c r="F379" s="134"/>
      <c r="G379" s="110"/>
      <c r="H379" s="176"/>
      <c r="I379" s="212"/>
      <c r="J379" s="134"/>
      <c r="K379" s="134"/>
      <c r="L379" s="213"/>
      <c r="M379" s="198"/>
      <c r="N379" s="194" t="s">
        <v>870</v>
      </c>
      <c r="O379" s="99">
        <v>3.37</v>
      </c>
      <c r="P379" s="45">
        <v>33</v>
      </c>
      <c r="Q379" s="99" t="s">
        <v>37</v>
      </c>
      <c r="R379" s="62"/>
    </row>
    <row r="380" s="1" customFormat="1" ht="84" hidden="1" customHeight="1" spans="1:18">
      <c r="A380" s="125" t="s">
        <v>759</v>
      </c>
      <c r="B380" s="126" t="s">
        <v>30</v>
      </c>
      <c r="C380" s="125" t="s">
        <v>871</v>
      </c>
      <c r="D380" s="125" t="s">
        <v>32</v>
      </c>
      <c r="E380" s="126">
        <v>9</v>
      </c>
      <c r="F380" s="126">
        <v>6</v>
      </c>
      <c r="G380" s="107">
        <f>F380/E380</f>
        <v>0.666666666666667</v>
      </c>
      <c r="H380" s="170" t="s">
        <v>872</v>
      </c>
      <c r="I380" s="210" t="s">
        <v>873</v>
      </c>
      <c r="J380" s="126">
        <v>15.66</v>
      </c>
      <c r="K380" s="126">
        <v>7.16</v>
      </c>
      <c r="L380" s="211" t="s">
        <v>37</v>
      </c>
      <c r="M380" s="193">
        <f>J380/(J380+K380)</f>
        <v>0.68624014022787</v>
      </c>
      <c r="N380" s="194" t="s">
        <v>874</v>
      </c>
      <c r="O380" s="99">
        <v>2.36</v>
      </c>
      <c r="P380" s="45">
        <v>30</v>
      </c>
      <c r="Q380" s="99" t="s">
        <v>37</v>
      </c>
      <c r="R380" s="60" t="s">
        <v>764</v>
      </c>
    </row>
    <row r="381" s="1" customFormat="1" ht="84" hidden="1" customHeight="1" spans="1:18">
      <c r="A381" s="129"/>
      <c r="B381" s="130"/>
      <c r="C381" s="129"/>
      <c r="D381" s="129"/>
      <c r="E381" s="130"/>
      <c r="F381" s="130"/>
      <c r="G381" s="171"/>
      <c r="H381" s="172"/>
      <c r="I381" s="214"/>
      <c r="J381" s="130"/>
      <c r="K381" s="130"/>
      <c r="L381" s="215"/>
      <c r="M381" s="196"/>
      <c r="N381" s="211" t="s">
        <v>875</v>
      </c>
      <c r="O381" s="126">
        <v>4.8</v>
      </c>
      <c r="P381" s="60">
        <v>56</v>
      </c>
      <c r="Q381" s="126" t="s">
        <v>37</v>
      </c>
      <c r="R381" s="61"/>
    </row>
    <row r="382" s="1" customFormat="1" ht="47" hidden="1" customHeight="1" spans="1:18">
      <c r="A382" s="56" t="s">
        <v>759</v>
      </c>
      <c r="B382" s="99" t="s">
        <v>30</v>
      </c>
      <c r="C382" s="56" t="s">
        <v>876</v>
      </c>
      <c r="D382" s="56" t="s">
        <v>32</v>
      </c>
      <c r="E382" s="99">
        <v>13</v>
      </c>
      <c r="F382" s="99">
        <v>7</v>
      </c>
      <c r="G382" s="32">
        <f t="shared" ref="G382:G389" si="28">F382/E382</f>
        <v>0.538461538461538</v>
      </c>
      <c r="H382" s="187" t="s">
        <v>877</v>
      </c>
      <c r="I382" s="219" t="s">
        <v>878</v>
      </c>
      <c r="J382" s="99">
        <v>21.47</v>
      </c>
      <c r="K382" s="99">
        <v>13.69</v>
      </c>
      <c r="L382" s="220" t="s">
        <v>37</v>
      </c>
      <c r="M382" s="101">
        <f t="shared" ref="M382:M389" si="29">J382/(J382+K382)</f>
        <v>0.610637087599545</v>
      </c>
      <c r="N382" s="220" t="s">
        <v>879</v>
      </c>
      <c r="O382" s="99">
        <v>3.5</v>
      </c>
      <c r="P382" s="45">
        <v>61</v>
      </c>
      <c r="Q382" s="99" t="s">
        <v>37</v>
      </c>
      <c r="R382" s="45" t="s">
        <v>764</v>
      </c>
    </row>
    <row r="383" customFormat="1" ht="47" hidden="1" customHeight="1" spans="1:18">
      <c r="A383" s="56"/>
      <c r="B383" s="99"/>
      <c r="C383" s="56"/>
      <c r="D383" s="56"/>
      <c r="E383" s="99"/>
      <c r="F383" s="99"/>
      <c r="G383" s="32"/>
      <c r="H383" s="187"/>
      <c r="I383" s="219"/>
      <c r="J383" s="99"/>
      <c r="K383" s="99"/>
      <c r="L383" s="220"/>
      <c r="M383" s="101"/>
      <c r="N383" s="45" t="s">
        <v>880</v>
      </c>
      <c r="O383" s="45">
        <v>6.69</v>
      </c>
      <c r="P383" s="45">
        <v>70</v>
      </c>
      <c r="Q383" s="99" t="s">
        <v>37</v>
      </c>
      <c r="R383" s="45"/>
    </row>
    <row r="384" customFormat="1" ht="47" hidden="1" customHeight="1" spans="1:18">
      <c r="A384" s="56"/>
      <c r="B384" s="99"/>
      <c r="C384" s="56"/>
      <c r="D384" s="56"/>
      <c r="E384" s="99"/>
      <c r="F384" s="99"/>
      <c r="G384" s="32"/>
      <c r="H384" s="187"/>
      <c r="I384" s="219"/>
      <c r="J384" s="99"/>
      <c r="K384" s="99"/>
      <c r="L384" s="220"/>
      <c r="M384" s="101"/>
      <c r="N384" s="45" t="s">
        <v>881</v>
      </c>
      <c r="O384" s="45">
        <v>1.84</v>
      </c>
      <c r="P384" s="45">
        <v>33</v>
      </c>
      <c r="Q384" s="99" t="s">
        <v>37</v>
      </c>
      <c r="R384" s="45"/>
    </row>
    <row r="385" customFormat="1" ht="47" hidden="1" customHeight="1" spans="1:18">
      <c r="A385" s="56"/>
      <c r="B385" s="99"/>
      <c r="C385" s="56"/>
      <c r="D385" s="56"/>
      <c r="E385" s="99"/>
      <c r="F385" s="99"/>
      <c r="G385" s="32"/>
      <c r="H385" s="187"/>
      <c r="I385" s="219"/>
      <c r="J385" s="99"/>
      <c r="K385" s="99"/>
      <c r="L385" s="220"/>
      <c r="M385" s="101"/>
      <c r="N385" s="45" t="s">
        <v>882</v>
      </c>
      <c r="O385" s="45">
        <v>1.66</v>
      </c>
      <c r="P385" s="45">
        <v>30</v>
      </c>
      <c r="Q385" s="99" t="s">
        <v>37</v>
      </c>
      <c r="R385" s="45"/>
    </row>
    <row r="386" s="1" customFormat="1" ht="30" hidden="1" spans="1:21">
      <c r="A386" s="31" t="s">
        <v>883</v>
      </c>
      <c r="B386" s="31" t="s">
        <v>158</v>
      </c>
      <c r="C386" s="31" t="s">
        <v>884</v>
      </c>
      <c r="D386" s="31" t="s">
        <v>25</v>
      </c>
      <c r="E386" s="31">
        <v>9</v>
      </c>
      <c r="F386" s="31">
        <v>9</v>
      </c>
      <c r="G386" s="169">
        <f t="shared" si="28"/>
        <v>1</v>
      </c>
      <c r="H386" s="223">
        <v>0</v>
      </c>
      <c r="I386" s="223" t="s">
        <v>885</v>
      </c>
      <c r="J386" s="223">
        <v>29.32</v>
      </c>
      <c r="K386" s="31">
        <v>0</v>
      </c>
      <c r="L386" s="225"/>
      <c r="M386" s="189">
        <f t="shared" si="29"/>
        <v>1</v>
      </c>
      <c r="N386" s="13"/>
      <c r="O386" s="13"/>
      <c r="P386" s="13"/>
      <c r="Q386" s="13"/>
      <c r="R386" s="13" t="s">
        <v>38</v>
      </c>
      <c r="S386" s="37"/>
      <c r="T386" s="37"/>
      <c r="U386" s="37"/>
    </row>
    <row r="387" s="1" customFormat="1" ht="30" hidden="1" spans="1:21">
      <c r="A387" s="13" t="s">
        <v>883</v>
      </c>
      <c r="B387" s="13" t="s">
        <v>158</v>
      </c>
      <c r="C387" s="13" t="s">
        <v>886</v>
      </c>
      <c r="D387" s="13" t="s">
        <v>25</v>
      </c>
      <c r="E387" s="13">
        <v>6</v>
      </c>
      <c r="F387" s="13">
        <v>3</v>
      </c>
      <c r="G387" s="14">
        <f t="shared" si="28"/>
        <v>0.5</v>
      </c>
      <c r="H387" s="15" t="s">
        <v>887</v>
      </c>
      <c r="I387" s="15"/>
      <c r="J387" s="15">
        <v>12.46</v>
      </c>
      <c r="K387" s="13">
        <v>0</v>
      </c>
      <c r="L387" s="34"/>
      <c r="M387" s="35">
        <f t="shared" si="29"/>
        <v>1</v>
      </c>
      <c r="N387" s="13"/>
      <c r="O387" s="13"/>
      <c r="P387" s="13"/>
      <c r="Q387" s="13"/>
      <c r="R387" s="45" t="s">
        <v>27</v>
      </c>
      <c r="S387" s="37"/>
      <c r="T387" s="37"/>
      <c r="U387" s="37"/>
    </row>
    <row r="388" s="1" customFormat="1" ht="30" hidden="1" spans="1:21">
      <c r="A388" s="13" t="s">
        <v>883</v>
      </c>
      <c r="B388" s="13" t="s">
        <v>158</v>
      </c>
      <c r="C388" s="13" t="s">
        <v>888</v>
      </c>
      <c r="D388" s="13" t="s">
        <v>25</v>
      </c>
      <c r="E388" s="13">
        <v>8</v>
      </c>
      <c r="F388" s="13">
        <v>4</v>
      </c>
      <c r="G388" s="14">
        <f t="shared" si="28"/>
        <v>0.5</v>
      </c>
      <c r="H388" s="15" t="s">
        <v>889</v>
      </c>
      <c r="I388" s="15"/>
      <c r="J388" s="15">
        <v>23.18</v>
      </c>
      <c r="K388" s="13">
        <v>0</v>
      </c>
      <c r="L388" s="34"/>
      <c r="M388" s="35">
        <f t="shared" si="29"/>
        <v>1</v>
      </c>
      <c r="N388" s="13"/>
      <c r="O388" s="13"/>
      <c r="P388" s="13"/>
      <c r="Q388" s="13"/>
      <c r="R388" s="45" t="s">
        <v>27</v>
      </c>
      <c r="S388" s="37"/>
      <c r="T388" s="37"/>
      <c r="U388" s="37"/>
    </row>
    <row r="389" s="1" customFormat="1" ht="15" hidden="1" spans="1:21">
      <c r="A389" s="16" t="s">
        <v>883</v>
      </c>
      <c r="B389" s="16" t="s">
        <v>158</v>
      </c>
      <c r="C389" s="16" t="s">
        <v>890</v>
      </c>
      <c r="D389" s="16" t="s">
        <v>32</v>
      </c>
      <c r="E389" s="16">
        <v>10</v>
      </c>
      <c r="F389" s="16">
        <v>6</v>
      </c>
      <c r="G389" s="18">
        <f t="shared" si="28"/>
        <v>0.6</v>
      </c>
      <c r="H389" s="19" t="s">
        <v>891</v>
      </c>
      <c r="I389" s="19" t="s">
        <v>892</v>
      </c>
      <c r="J389" s="16">
        <v>11.47</v>
      </c>
      <c r="K389" s="16">
        <v>7.61</v>
      </c>
      <c r="L389" s="40" t="s">
        <v>37</v>
      </c>
      <c r="M389" s="41">
        <f t="shared" si="29"/>
        <v>0.601153039832285</v>
      </c>
      <c r="N389" s="15" t="s">
        <v>893</v>
      </c>
      <c r="O389" s="13">
        <v>3.85464</v>
      </c>
      <c r="P389" s="13">
        <v>51</v>
      </c>
      <c r="Q389" s="13" t="s">
        <v>37</v>
      </c>
      <c r="R389" s="13" t="s">
        <v>27</v>
      </c>
      <c r="S389" s="37"/>
      <c r="T389" s="37"/>
      <c r="U389" s="37"/>
    </row>
    <row r="390" s="1" customFormat="1" ht="15" hidden="1" spans="1:21">
      <c r="A390" s="24"/>
      <c r="B390" s="24"/>
      <c r="C390" s="24"/>
      <c r="D390" s="24"/>
      <c r="E390" s="24"/>
      <c r="F390" s="24"/>
      <c r="G390" s="26"/>
      <c r="H390" s="27"/>
      <c r="I390" s="27"/>
      <c r="J390" s="24"/>
      <c r="K390" s="24"/>
      <c r="L390" s="51"/>
      <c r="M390" s="52"/>
      <c r="N390" s="13" t="s">
        <v>894</v>
      </c>
      <c r="O390" s="13">
        <v>3.750522</v>
      </c>
      <c r="P390" s="13">
        <v>92</v>
      </c>
      <c r="Q390" s="13" t="s">
        <v>37</v>
      </c>
      <c r="R390" s="13" t="s">
        <v>27</v>
      </c>
      <c r="S390" s="37"/>
      <c r="T390" s="37"/>
      <c r="U390" s="37"/>
    </row>
    <row r="391" s="1" customFormat="1" ht="15" hidden="1" spans="1:21">
      <c r="A391" s="13" t="s">
        <v>883</v>
      </c>
      <c r="B391" s="13" t="s">
        <v>158</v>
      </c>
      <c r="C391" s="13" t="s">
        <v>895</v>
      </c>
      <c r="D391" s="13" t="s">
        <v>25</v>
      </c>
      <c r="E391" s="13">
        <v>6</v>
      </c>
      <c r="F391" s="13">
        <v>6</v>
      </c>
      <c r="G391" s="14">
        <f t="shared" ref="G391:G403" si="30">F391/E391</f>
        <v>1</v>
      </c>
      <c r="H391" s="15">
        <v>0</v>
      </c>
      <c r="I391" s="15"/>
      <c r="J391" s="15">
        <v>13.41</v>
      </c>
      <c r="K391" s="13">
        <v>0</v>
      </c>
      <c r="L391" s="34"/>
      <c r="M391" s="35">
        <f t="shared" ref="M391:M394" si="31">J391/(J391+K391)</f>
        <v>1</v>
      </c>
      <c r="N391" s="13"/>
      <c r="O391" s="13"/>
      <c r="P391" s="13"/>
      <c r="Q391" s="13"/>
      <c r="R391" s="13" t="s">
        <v>27</v>
      </c>
      <c r="S391" s="37"/>
      <c r="T391" s="37"/>
      <c r="U391" s="37"/>
    </row>
    <row r="392" s="1" customFormat="1" ht="15" hidden="1" spans="1:21">
      <c r="A392" s="13" t="s">
        <v>883</v>
      </c>
      <c r="B392" s="13" t="s">
        <v>158</v>
      </c>
      <c r="C392" s="13" t="s">
        <v>896</v>
      </c>
      <c r="D392" s="13" t="s">
        <v>25</v>
      </c>
      <c r="E392" s="13">
        <v>3</v>
      </c>
      <c r="F392" s="13">
        <v>2</v>
      </c>
      <c r="G392" s="14">
        <f t="shared" si="30"/>
        <v>0.666666666666667</v>
      </c>
      <c r="H392" s="15" t="s">
        <v>897</v>
      </c>
      <c r="I392" s="15"/>
      <c r="J392" s="13">
        <v>5.4</v>
      </c>
      <c r="K392" s="13">
        <v>0</v>
      </c>
      <c r="L392" s="34"/>
      <c r="M392" s="35">
        <f t="shared" si="31"/>
        <v>1</v>
      </c>
      <c r="N392" s="13"/>
      <c r="O392" s="13"/>
      <c r="P392" s="13"/>
      <c r="Q392" s="13"/>
      <c r="R392" s="13" t="s">
        <v>27</v>
      </c>
      <c r="S392" s="37"/>
      <c r="T392" s="37"/>
      <c r="U392" s="37"/>
    </row>
    <row r="393" s="1" customFormat="1" ht="45" hidden="1" spans="1:21">
      <c r="A393" s="13" t="s">
        <v>883</v>
      </c>
      <c r="B393" s="13" t="s">
        <v>158</v>
      </c>
      <c r="C393" s="13" t="s">
        <v>898</v>
      </c>
      <c r="D393" s="13" t="s">
        <v>25</v>
      </c>
      <c r="E393" s="13">
        <v>7</v>
      </c>
      <c r="F393" s="13">
        <v>5</v>
      </c>
      <c r="G393" s="14">
        <f t="shared" si="30"/>
        <v>0.714285714285714</v>
      </c>
      <c r="H393" s="15" t="s">
        <v>899</v>
      </c>
      <c r="I393" s="15"/>
      <c r="J393" s="13">
        <v>24.02</v>
      </c>
      <c r="K393" s="13">
        <v>0</v>
      </c>
      <c r="L393" s="34"/>
      <c r="M393" s="35">
        <f t="shared" si="31"/>
        <v>1</v>
      </c>
      <c r="N393" s="13"/>
      <c r="O393" s="13"/>
      <c r="P393" s="13"/>
      <c r="Q393" s="13"/>
      <c r="R393" s="13" t="s">
        <v>27</v>
      </c>
      <c r="S393" s="37"/>
      <c r="T393" s="37"/>
      <c r="U393" s="37"/>
    </row>
    <row r="394" s="1" customFormat="1" ht="60" hidden="1" spans="1:21">
      <c r="A394" s="13" t="s">
        <v>883</v>
      </c>
      <c r="B394" s="13" t="s">
        <v>158</v>
      </c>
      <c r="C394" s="13" t="s">
        <v>900</v>
      </c>
      <c r="D394" s="13" t="s">
        <v>32</v>
      </c>
      <c r="E394" s="13">
        <v>8</v>
      </c>
      <c r="F394" s="13">
        <v>3</v>
      </c>
      <c r="G394" s="14">
        <f t="shared" si="30"/>
        <v>0.375</v>
      </c>
      <c r="H394" s="15" t="s">
        <v>901</v>
      </c>
      <c r="I394" s="15" t="s">
        <v>902</v>
      </c>
      <c r="J394" s="13">
        <v>11.44</v>
      </c>
      <c r="K394" s="13">
        <v>2.24</v>
      </c>
      <c r="L394" s="34" t="s">
        <v>35</v>
      </c>
      <c r="M394" s="35">
        <f t="shared" si="31"/>
        <v>0.83625730994152</v>
      </c>
      <c r="N394" s="13"/>
      <c r="O394" s="13"/>
      <c r="P394" s="13"/>
      <c r="Q394" s="13"/>
      <c r="R394" s="13" t="s">
        <v>27</v>
      </c>
      <c r="S394" s="37"/>
      <c r="T394" s="37"/>
      <c r="U394" s="37"/>
    </row>
    <row r="395" s="1" customFormat="1" ht="30" hidden="1" spans="1:21">
      <c r="A395" s="13" t="s">
        <v>883</v>
      </c>
      <c r="B395" s="13" t="s">
        <v>158</v>
      </c>
      <c r="C395" s="13" t="s">
        <v>866</v>
      </c>
      <c r="D395" s="13" t="s">
        <v>25</v>
      </c>
      <c r="E395" s="13">
        <v>7</v>
      </c>
      <c r="F395" s="13">
        <v>3</v>
      </c>
      <c r="G395" s="14">
        <f t="shared" si="30"/>
        <v>0.428571428571429</v>
      </c>
      <c r="H395" s="15" t="s">
        <v>903</v>
      </c>
      <c r="I395" s="15"/>
      <c r="J395" s="13">
        <v>15.24</v>
      </c>
      <c r="K395" s="13">
        <v>0</v>
      </c>
      <c r="L395" s="34"/>
      <c r="M395" s="35"/>
      <c r="N395" s="13"/>
      <c r="O395" s="13"/>
      <c r="P395" s="13"/>
      <c r="Q395" s="13"/>
      <c r="R395" s="13" t="s">
        <v>27</v>
      </c>
      <c r="S395" s="37"/>
      <c r="T395" s="37"/>
      <c r="U395" s="37"/>
    </row>
    <row r="396" s="1" customFormat="1" ht="90" hidden="1" spans="1:21">
      <c r="A396" s="13" t="s">
        <v>883</v>
      </c>
      <c r="B396" s="13" t="s">
        <v>30</v>
      </c>
      <c r="C396" s="13" t="s">
        <v>904</v>
      </c>
      <c r="D396" s="13" t="s">
        <v>32</v>
      </c>
      <c r="E396" s="13">
        <v>31</v>
      </c>
      <c r="F396" s="13">
        <v>23</v>
      </c>
      <c r="G396" s="14">
        <f t="shared" si="30"/>
        <v>0.741935483870968</v>
      </c>
      <c r="H396" s="15" t="s">
        <v>905</v>
      </c>
      <c r="I396" s="15" t="s">
        <v>906</v>
      </c>
      <c r="J396" s="13">
        <v>54</v>
      </c>
      <c r="K396" s="13">
        <v>5.94</v>
      </c>
      <c r="L396" s="34" t="s">
        <v>35</v>
      </c>
      <c r="M396" s="35">
        <f t="shared" ref="M396:M403" si="32">J396/(J396+K396)</f>
        <v>0.900900900900901</v>
      </c>
      <c r="N396" s="13"/>
      <c r="O396" s="13"/>
      <c r="P396" s="13"/>
      <c r="Q396" s="13"/>
      <c r="R396" s="45" t="s">
        <v>38</v>
      </c>
      <c r="S396" s="37"/>
      <c r="T396" s="37"/>
      <c r="U396" s="37"/>
    </row>
    <row r="397" s="1" customFormat="1" ht="75" hidden="1" spans="1:21">
      <c r="A397" s="31" t="s">
        <v>883</v>
      </c>
      <c r="B397" s="31" t="s">
        <v>30</v>
      </c>
      <c r="C397" s="31" t="s">
        <v>907</v>
      </c>
      <c r="D397" s="31" t="s">
        <v>25</v>
      </c>
      <c r="E397" s="31">
        <v>16</v>
      </c>
      <c r="F397" s="31">
        <v>13</v>
      </c>
      <c r="G397" s="169">
        <f t="shared" si="30"/>
        <v>0.8125</v>
      </c>
      <c r="H397" s="223" t="s">
        <v>908</v>
      </c>
      <c r="I397" s="223" t="s">
        <v>909</v>
      </c>
      <c r="J397" s="31">
        <v>50.44</v>
      </c>
      <c r="K397" s="31">
        <v>0</v>
      </c>
      <c r="L397" s="225"/>
      <c r="M397" s="189">
        <f t="shared" si="32"/>
        <v>1</v>
      </c>
      <c r="N397" s="69"/>
      <c r="O397" s="13"/>
      <c r="P397" s="13"/>
      <c r="Q397" s="13"/>
      <c r="R397" s="45" t="s">
        <v>38</v>
      </c>
      <c r="S397" s="37"/>
      <c r="T397" s="37"/>
      <c r="U397" s="37"/>
    </row>
    <row r="398" s="1" customFormat="1" ht="75" hidden="1" spans="1:21">
      <c r="A398" s="13" t="s">
        <v>883</v>
      </c>
      <c r="B398" s="13" t="s">
        <v>30</v>
      </c>
      <c r="C398" s="13" t="s">
        <v>910</v>
      </c>
      <c r="D398" s="13" t="s">
        <v>32</v>
      </c>
      <c r="E398" s="13">
        <v>32</v>
      </c>
      <c r="F398" s="13">
        <v>26</v>
      </c>
      <c r="G398" s="14">
        <f t="shared" si="30"/>
        <v>0.8125</v>
      </c>
      <c r="H398" s="15" t="s">
        <v>911</v>
      </c>
      <c r="I398" s="15" t="s">
        <v>912</v>
      </c>
      <c r="J398" s="13">
        <v>70</v>
      </c>
      <c r="K398" s="13">
        <v>0.47</v>
      </c>
      <c r="L398" s="34" t="s">
        <v>35</v>
      </c>
      <c r="M398" s="35">
        <f t="shared" si="32"/>
        <v>0.993330495246204</v>
      </c>
      <c r="N398" s="13"/>
      <c r="O398" s="13"/>
      <c r="P398" s="13"/>
      <c r="Q398" s="13"/>
      <c r="R398" s="45" t="s">
        <v>38</v>
      </c>
      <c r="S398" s="37"/>
      <c r="T398" s="37"/>
      <c r="U398" s="37"/>
    </row>
    <row r="399" s="1" customFormat="1" ht="135" hidden="1" spans="1:21">
      <c r="A399" s="13" t="s">
        <v>883</v>
      </c>
      <c r="B399" s="13" t="s">
        <v>30</v>
      </c>
      <c r="C399" s="13" t="s">
        <v>913</v>
      </c>
      <c r="D399" s="13" t="s">
        <v>25</v>
      </c>
      <c r="E399" s="13">
        <v>21</v>
      </c>
      <c r="F399" s="13">
        <v>8</v>
      </c>
      <c r="G399" s="14">
        <f t="shared" si="30"/>
        <v>0.380952380952381</v>
      </c>
      <c r="H399" s="15" t="s">
        <v>914</v>
      </c>
      <c r="I399" s="15"/>
      <c r="J399" s="13">
        <v>30.78</v>
      </c>
      <c r="K399" s="13">
        <v>0</v>
      </c>
      <c r="L399" s="34" t="s">
        <v>35</v>
      </c>
      <c r="M399" s="35">
        <f t="shared" si="32"/>
        <v>1</v>
      </c>
      <c r="N399" s="13"/>
      <c r="O399" s="13"/>
      <c r="P399" s="13"/>
      <c r="Q399" s="13"/>
      <c r="R399" s="45" t="s">
        <v>38</v>
      </c>
      <c r="S399" s="37"/>
      <c r="T399" s="37"/>
      <c r="U399" s="37"/>
    </row>
    <row r="400" s="1" customFormat="1" ht="105" hidden="1" spans="1:21">
      <c r="A400" s="13" t="s">
        <v>883</v>
      </c>
      <c r="B400" s="13" t="s">
        <v>30</v>
      </c>
      <c r="C400" s="13" t="s">
        <v>915</v>
      </c>
      <c r="D400" s="13" t="s">
        <v>25</v>
      </c>
      <c r="E400" s="13">
        <v>23</v>
      </c>
      <c r="F400" s="13">
        <v>15</v>
      </c>
      <c r="G400" s="14">
        <f t="shared" si="30"/>
        <v>0.652173913043478</v>
      </c>
      <c r="H400" s="15" t="s">
        <v>916</v>
      </c>
      <c r="I400" s="15"/>
      <c r="J400" s="13">
        <v>43.26</v>
      </c>
      <c r="K400" s="13">
        <v>0</v>
      </c>
      <c r="L400" s="34"/>
      <c r="M400" s="35">
        <f t="shared" si="32"/>
        <v>1</v>
      </c>
      <c r="N400" s="13"/>
      <c r="O400" s="13"/>
      <c r="P400" s="13"/>
      <c r="Q400" s="13"/>
      <c r="R400" s="45" t="s">
        <v>38</v>
      </c>
      <c r="S400" s="37"/>
      <c r="T400" s="37"/>
      <c r="U400" s="37"/>
    </row>
    <row r="401" s="1" customFormat="1" ht="30" hidden="1" spans="1:21">
      <c r="A401" s="13" t="s">
        <v>883</v>
      </c>
      <c r="B401" s="13" t="s">
        <v>30</v>
      </c>
      <c r="C401" s="13" t="s">
        <v>917</v>
      </c>
      <c r="D401" s="13" t="s">
        <v>25</v>
      </c>
      <c r="E401" s="13">
        <v>24</v>
      </c>
      <c r="F401" s="13">
        <v>22</v>
      </c>
      <c r="G401" s="14">
        <f t="shared" si="30"/>
        <v>0.916666666666667</v>
      </c>
      <c r="H401" s="15" t="s">
        <v>918</v>
      </c>
      <c r="I401" s="15"/>
      <c r="J401" s="13">
        <v>77.4</v>
      </c>
      <c r="K401" s="13">
        <v>0</v>
      </c>
      <c r="L401" s="34"/>
      <c r="M401" s="35">
        <f t="shared" si="32"/>
        <v>1</v>
      </c>
      <c r="N401" s="13"/>
      <c r="O401" s="13"/>
      <c r="P401" s="13"/>
      <c r="Q401" s="13"/>
      <c r="R401" s="45" t="s">
        <v>38</v>
      </c>
      <c r="S401" s="37"/>
      <c r="T401" s="37"/>
      <c r="U401" s="37"/>
    </row>
    <row r="402" s="1" customFormat="1" ht="90" hidden="1" spans="1:21">
      <c r="A402" s="13" t="s">
        <v>883</v>
      </c>
      <c r="B402" s="13" t="s">
        <v>30</v>
      </c>
      <c r="C402" s="13" t="s">
        <v>919</v>
      </c>
      <c r="D402" s="13" t="s">
        <v>25</v>
      </c>
      <c r="E402" s="13">
        <v>21</v>
      </c>
      <c r="F402" s="13">
        <v>10</v>
      </c>
      <c r="G402" s="14">
        <f t="shared" si="30"/>
        <v>0.476190476190476</v>
      </c>
      <c r="H402" s="15" t="s">
        <v>920</v>
      </c>
      <c r="I402" s="75"/>
      <c r="J402" s="13">
        <v>36.04</v>
      </c>
      <c r="K402" s="13">
        <v>0</v>
      </c>
      <c r="L402" s="34" t="s">
        <v>35</v>
      </c>
      <c r="M402" s="35">
        <f t="shared" si="32"/>
        <v>1</v>
      </c>
      <c r="N402" s="13"/>
      <c r="O402" s="13"/>
      <c r="P402" s="13"/>
      <c r="Q402" s="13"/>
      <c r="R402" s="45" t="s">
        <v>52</v>
      </c>
      <c r="S402" s="37"/>
      <c r="T402" s="37"/>
      <c r="U402" s="37"/>
    </row>
    <row r="403" s="1" customFormat="1" ht="15" hidden="1" spans="1:21">
      <c r="A403" s="16" t="s">
        <v>883</v>
      </c>
      <c r="B403" s="16" t="s">
        <v>30</v>
      </c>
      <c r="C403" s="16" t="s">
        <v>921</v>
      </c>
      <c r="D403" s="16" t="s">
        <v>32</v>
      </c>
      <c r="E403" s="16">
        <v>16</v>
      </c>
      <c r="F403" s="16">
        <v>10</v>
      </c>
      <c r="G403" s="18">
        <f t="shared" si="30"/>
        <v>0.625</v>
      </c>
      <c r="H403" s="19" t="s">
        <v>922</v>
      </c>
      <c r="I403" s="19" t="s">
        <v>923</v>
      </c>
      <c r="J403" s="16">
        <v>21.1</v>
      </c>
      <c r="K403" s="16">
        <v>12.93</v>
      </c>
      <c r="L403" s="16" t="s">
        <v>37</v>
      </c>
      <c r="M403" s="41">
        <f t="shared" si="32"/>
        <v>0.620041140170438</v>
      </c>
      <c r="N403" s="13" t="s">
        <v>924</v>
      </c>
      <c r="O403" s="13">
        <v>5.089799</v>
      </c>
      <c r="P403" s="13">
        <v>60</v>
      </c>
      <c r="Q403" s="13" t="s">
        <v>37</v>
      </c>
      <c r="R403" s="13" t="s">
        <v>52</v>
      </c>
      <c r="S403" s="37"/>
      <c r="T403" s="37"/>
      <c r="U403" s="37"/>
    </row>
    <row r="404" s="1" customFormat="1" ht="15" hidden="1" spans="1:21">
      <c r="A404" s="20"/>
      <c r="B404" s="20"/>
      <c r="C404" s="20"/>
      <c r="D404" s="20"/>
      <c r="E404" s="20"/>
      <c r="F404" s="20"/>
      <c r="G404" s="22"/>
      <c r="H404" s="23"/>
      <c r="I404" s="23"/>
      <c r="J404" s="20"/>
      <c r="K404" s="20"/>
      <c r="L404" s="20"/>
      <c r="M404" s="48"/>
      <c r="N404" s="13" t="s">
        <v>925</v>
      </c>
      <c r="O404" s="13">
        <v>4.07659</v>
      </c>
      <c r="P404" s="13">
        <v>57</v>
      </c>
      <c r="Q404" s="13" t="s">
        <v>37</v>
      </c>
      <c r="R404" s="13" t="s">
        <v>52</v>
      </c>
      <c r="S404" s="37"/>
      <c r="T404" s="37"/>
      <c r="U404" s="37"/>
    </row>
    <row r="405" s="1" customFormat="1" ht="15" hidden="1" spans="1:21">
      <c r="A405" s="24"/>
      <c r="B405" s="24"/>
      <c r="C405" s="24"/>
      <c r="D405" s="24"/>
      <c r="E405" s="24"/>
      <c r="F405" s="24"/>
      <c r="G405" s="26"/>
      <c r="H405" s="27"/>
      <c r="I405" s="27"/>
      <c r="J405" s="24"/>
      <c r="K405" s="24"/>
      <c r="L405" s="24"/>
      <c r="M405" s="52"/>
      <c r="N405" s="13" t="s">
        <v>926</v>
      </c>
      <c r="O405" s="13">
        <v>3.767439</v>
      </c>
      <c r="P405" s="13">
        <v>22</v>
      </c>
      <c r="Q405" s="13" t="s">
        <v>37</v>
      </c>
      <c r="R405" s="13" t="s">
        <v>52</v>
      </c>
      <c r="S405" s="37"/>
      <c r="T405" s="37"/>
      <c r="U405" s="37"/>
    </row>
    <row r="406" s="1" customFormat="1" ht="15" hidden="1" spans="1:21">
      <c r="A406" s="16" t="s">
        <v>883</v>
      </c>
      <c r="B406" s="16" t="s">
        <v>30</v>
      </c>
      <c r="C406" s="16" t="s">
        <v>927</v>
      </c>
      <c r="D406" s="16" t="s">
        <v>32</v>
      </c>
      <c r="E406" s="16">
        <v>12</v>
      </c>
      <c r="F406" s="16">
        <v>1</v>
      </c>
      <c r="G406" s="18">
        <f>F406/E406</f>
        <v>0.0833333333333333</v>
      </c>
      <c r="H406" s="19" t="s">
        <v>928</v>
      </c>
      <c r="I406" s="19" t="s">
        <v>929</v>
      </c>
      <c r="J406" s="16">
        <v>7.18</v>
      </c>
      <c r="K406" s="16">
        <v>19.53</v>
      </c>
      <c r="L406" s="16" t="s">
        <v>37</v>
      </c>
      <c r="M406" s="41">
        <f>J406/(J406+K406)</f>
        <v>0.2688131785848</v>
      </c>
      <c r="N406" s="13" t="s">
        <v>930</v>
      </c>
      <c r="O406" s="13">
        <v>5.053822</v>
      </c>
      <c r="P406" s="13">
        <v>63</v>
      </c>
      <c r="Q406" s="13" t="s">
        <v>37</v>
      </c>
      <c r="R406" s="13" t="s">
        <v>27</v>
      </c>
      <c r="S406" s="37"/>
      <c r="T406" s="37"/>
      <c r="U406" s="37"/>
    </row>
    <row r="407" s="1" customFormat="1" ht="15" hidden="1" spans="1:21">
      <c r="A407" s="20"/>
      <c r="B407" s="20"/>
      <c r="C407" s="20"/>
      <c r="D407" s="20"/>
      <c r="E407" s="20"/>
      <c r="F407" s="20"/>
      <c r="G407" s="22"/>
      <c r="H407" s="23"/>
      <c r="I407" s="23"/>
      <c r="J407" s="20"/>
      <c r="K407" s="20"/>
      <c r="L407" s="20"/>
      <c r="M407" s="48"/>
      <c r="N407" s="13" t="s">
        <v>931</v>
      </c>
      <c r="O407" s="13">
        <v>4.998207</v>
      </c>
      <c r="P407" s="13">
        <v>69</v>
      </c>
      <c r="Q407" s="13" t="s">
        <v>37</v>
      </c>
      <c r="R407" s="13" t="s">
        <v>27</v>
      </c>
      <c r="S407" s="37"/>
      <c r="T407" s="37"/>
      <c r="U407" s="37"/>
    </row>
    <row r="408" s="1" customFormat="1" ht="15" hidden="1" spans="1:21">
      <c r="A408" s="20"/>
      <c r="B408" s="20"/>
      <c r="C408" s="20"/>
      <c r="D408" s="20"/>
      <c r="E408" s="20"/>
      <c r="F408" s="20"/>
      <c r="G408" s="22"/>
      <c r="H408" s="23"/>
      <c r="I408" s="23"/>
      <c r="J408" s="20"/>
      <c r="K408" s="20"/>
      <c r="L408" s="20"/>
      <c r="M408" s="48"/>
      <c r="N408" s="13" t="s">
        <v>932</v>
      </c>
      <c r="O408" s="13">
        <v>3.938824</v>
      </c>
      <c r="P408" s="13">
        <v>60</v>
      </c>
      <c r="Q408" s="13" t="s">
        <v>37</v>
      </c>
      <c r="R408" s="13" t="s">
        <v>27</v>
      </c>
      <c r="S408" s="37"/>
      <c r="T408" s="37"/>
      <c r="U408" s="37"/>
    </row>
    <row r="409" s="1" customFormat="1" ht="15" hidden="1" spans="1:21">
      <c r="A409" s="20"/>
      <c r="B409" s="20"/>
      <c r="C409" s="20"/>
      <c r="D409" s="20"/>
      <c r="E409" s="20"/>
      <c r="F409" s="20"/>
      <c r="G409" s="22"/>
      <c r="H409" s="23"/>
      <c r="I409" s="23"/>
      <c r="J409" s="20"/>
      <c r="K409" s="20"/>
      <c r="L409" s="20"/>
      <c r="M409" s="48"/>
      <c r="N409" s="13" t="s">
        <v>933</v>
      </c>
      <c r="O409" s="13">
        <v>2.841766</v>
      </c>
      <c r="P409" s="13">
        <v>55</v>
      </c>
      <c r="Q409" s="13" t="s">
        <v>37</v>
      </c>
      <c r="R409" s="13" t="s">
        <v>27</v>
      </c>
      <c r="S409" s="37"/>
      <c r="T409" s="37"/>
      <c r="U409" s="37"/>
    </row>
    <row r="410" s="1" customFormat="1" ht="15" hidden="1" spans="1:21">
      <c r="A410" s="24"/>
      <c r="B410" s="24"/>
      <c r="C410" s="24"/>
      <c r="D410" s="24"/>
      <c r="E410" s="24"/>
      <c r="F410" s="24"/>
      <c r="G410" s="26"/>
      <c r="H410" s="27"/>
      <c r="I410" s="27"/>
      <c r="J410" s="24"/>
      <c r="K410" s="24"/>
      <c r="L410" s="24"/>
      <c r="M410" s="52"/>
      <c r="N410" s="13" t="s">
        <v>934</v>
      </c>
      <c r="O410" s="13">
        <v>2.700036</v>
      </c>
      <c r="P410" s="13">
        <v>49</v>
      </c>
      <c r="Q410" s="13" t="s">
        <v>37</v>
      </c>
      <c r="R410" s="13" t="s">
        <v>27</v>
      </c>
      <c r="S410" s="37"/>
      <c r="T410" s="37"/>
      <c r="U410" s="37"/>
    </row>
    <row r="411" s="1" customFormat="1" ht="75" hidden="1" spans="1:21">
      <c r="A411" s="13" t="s">
        <v>883</v>
      </c>
      <c r="B411" s="13" t="s">
        <v>30</v>
      </c>
      <c r="C411" s="13" t="s">
        <v>935</v>
      </c>
      <c r="D411" s="13" t="s">
        <v>32</v>
      </c>
      <c r="E411" s="13">
        <v>11</v>
      </c>
      <c r="F411" s="13">
        <v>3</v>
      </c>
      <c r="G411" s="14">
        <f t="shared" ref="G411:G413" si="33">F411/E411</f>
        <v>0.272727272727273</v>
      </c>
      <c r="H411" s="15" t="s">
        <v>936</v>
      </c>
      <c r="I411" s="15" t="s">
        <v>937</v>
      </c>
      <c r="J411" s="13">
        <v>14.67</v>
      </c>
      <c r="K411" s="13">
        <v>1.17</v>
      </c>
      <c r="L411" s="34" t="s">
        <v>35</v>
      </c>
      <c r="M411" s="35">
        <f t="shared" ref="M411:M413" si="34">J411/(J411+K411)</f>
        <v>0.926136363636364</v>
      </c>
      <c r="N411" s="13"/>
      <c r="O411" s="13"/>
      <c r="P411" s="13"/>
      <c r="Q411" s="13"/>
      <c r="R411" s="45" t="s">
        <v>27</v>
      </c>
      <c r="S411" s="37"/>
      <c r="T411" s="37"/>
      <c r="U411" s="37"/>
    </row>
    <row r="412" s="1" customFormat="1" ht="90" hidden="1" spans="1:21">
      <c r="A412" s="13" t="s">
        <v>883</v>
      </c>
      <c r="B412" s="13" t="s">
        <v>30</v>
      </c>
      <c r="C412" s="13" t="s">
        <v>938</v>
      </c>
      <c r="D412" s="13" t="s">
        <v>32</v>
      </c>
      <c r="E412" s="13">
        <v>18</v>
      </c>
      <c r="F412" s="13">
        <v>7</v>
      </c>
      <c r="G412" s="14">
        <f t="shared" si="33"/>
        <v>0.388888888888889</v>
      </c>
      <c r="H412" s="15" t="s">
        <v>939</v>
      </c>
      <c r="I412" s="15" t="s">
        <v>940</v>
      </c>
      <c r="J412" s="13">
        <v>26.9</v>
      </c>
      <c r="K412" s="13">
        <v>4.85</v>
      </c>
      <c r="L412" s="34" t="s">
        <v>35</v>
      </c>
      <c r="M412" s="35">
        <f t="shared" si="34"/>
        <v>0.847244094488189</v>
      </c>
      <c r="N412" s="13"/>
      <c r="O412" s="13"/>
      <c r="P412" s="13"/>
      <c r="Q412" s="13"/>
      <c r="R412" s="45" t="s">
        <v>27</v>
      </c>
      <c r="S412" s="37"/>
      <c r="T412" s="37"/>
      <c r="U412" s="37"/>
    </row>
    <row r="413" s="1" customFormat="1" ht="15" hidden="1" spans="1:21">
      <c r="A413" s="13" t="s">
        <v>883</v>
      </c>
      <c r="B413" s="13" t="s">
        <v>30</v>
      </c>
      <c r="C413" s="13" t="s">
        <v>941</v>
      </c>
      <c r="D413" s="13" t="s">
        <v>32</v>
      </c>
      <c r="E413" s="13">
        <v>10</v>
      </c>
      <c r="F413" s="224">
        <v>5</v>
      </c>
      <c r="G413" s="18">
        <f t="shared" si="33"/>
        <v>0.5</v>
      </c>
      <c r="H413" s="19" t="s">
        <v>942</v>
      </c>
      <c r="I413" s="19" t="s">
        <v>943</v>
      </c>
      <c r="J413" s="40">
        <v>14.15</v>
      </c>
      <c r="K413" s="40">
        <v>10.84</v>
      </c>
      <c r="L413" s="40" t="s">
        <v>37</v>
      </c>
      <c r="M413" s="41">
        <f t="shared" si="34"/>
        <v>0.566226490596238</v>
      </c>
      <c r="N413" s="13" t="s">
        <v>944</v>
      </c>
      <c r="O413" s="13">
        <v>5.752824</v>
      </c>
      <c r="P413" s="13">
        <v>79</v>
      </c>
      <c r="Q413" s="13" t="s">
        <v>37</v>
      </c>
      <c r="R413" s="13" t="s">
        <v>27</v>
      </c>
      <c r="S413" s="37"/>
      <c r="T413" s="37"/>
      <c r="U413" s="37"/>
    </row>
    <row r="414" s="1" customFormat="1" ht="15" hidden="1" spans="1:21">
      <c r="A414" s="13"/>
      <c r="B414" s="13"/>
      <c r="C414" s="13"/>
      <c r="D414" s="13"/>
      <c r="E414" s="13"/>
      <c r="F414" s="224"/>
      <c r="G414" s="22"/>
      <c r="H414" s="23"/>
      <c r="I414" s="23"/>
      <c r="J414" s="47"/>
      <c r="K414" s="47"/>
      <c r="L414" s="47"/>
      <c r="M414" s="48"/>
      <c r="N414" s="13" t="s">
        <v>945</v>
      </c>
      <c r="O414" s="13">
        <v>2.867844</v>
      </c>
      <c r="P414" s="13">
        <v>44</v>
      </c>
      <c r="Q414" s="13" t="s">
        <v>37</v>
      </c>
      <c r="R414" s="13" t="s">
        <v>27</v>
      </c>
      <c r="S414" s="37"/>
      <c r="T414" s="37"/>
      <c r="U414" s="37"/>
    </row>
    <row r="415" s="1" customFormat="1" ht="15" hidden="1" spans="1:21">
      <c r="A415" s="13"/>
      <c r="B415" s="13"/>
      <c r="C415" s="13"/>
      <c r="D415" s="13"/>
      <c r="E415" s="13"/>
      <c r="F415" s="224"/>
      <c r="G415" s="26"/>
      <c r="H415" s="27"/>
      <c r="I415" s="27"/>
      <c r="J415" s="51"/>
      <c r="K415" s="51"/>
      <c r="L415" s="51"/>
      <c r="M415" s="52"/>
      <c r="N415" s="13" t="s">
        <v>946</v>
      </c>
      <c r="O415" s="13">
        <v>2.218008</v>
      </c>
      <c r="P415" s="13">
        <v>44</v>
      </c>
      <c r="Q415" s="13" t="s">
        <v>37</v>
      </c>
      <c r="R415" s="13" t="s">
        <v>27</v>
      </c>
      <c r="S415" s="37"/>
      <c r="T415" s="37"/>
      <c r="U415" s="37"/>
    </row>
    <row r="416" s="1" customFormat="1" ht="75" hidden="1" spans="1:21">
      <c r="A416" s="13" t="s">
        <v>883</v>
      </c>
      <c r="B416" s="13" t="s">
        <v>30</v>
      </c>
      <c r="C416" s="13" t="s">
        <v>947</v>
      </c>
      <c r="D416" s="13" t="s">
        <v>32</v>
      </c>
      <c r="E416" s="13">
        <v>16</v>
      </c>
      <c r="F416" s="13">
        <v>7</v>
      </c>
      <c r="G416" s="14">
        <f t="shared" ref="G416:G424" si="35">F416/E416</f>
        <v>0.4375</v>
      </c>
      <c r="H416" s="15" t="s">
        <v>948</v>
      </c>
      <c r="I416" s="15" t="s">
        <v>949</v>
      </c>
      <c r="J416" s="13">
        <v>18.71</v>
      </c>
      <c r="K416" s="13">
        <v>2.34</v>
      </c>
      <c r="L416" s="34" t="s">
        <v>37</v>
      </c>
      <c r="M416" s="35">
        <f t="shared" ref="M416:M424" si="36">J416/(J416+K416)</f>
        <v>0.888836104513064</v>
      </c>
      <c r="N416" s="13"/>
      <c r="O416" s="13"/>
      <c r="P416" s="13"/>
      <c r="Q416" s="13"/>
      <c r="R416" s="45" t="s">
        <v>27</v>
      </c>
      <c r="S416" s="37"/>
      <c r="T416" s="37"/>
      <c r="U416" s="37"/>
    </row>
    <row r="417" s="1" customFormat="1" ht="60" hidden="1" spans="1:21">
      <c r="A417" s="13" t="s">
        <v>883</v>
      </c>
      <c r="B417" s="13" t="s">
        <v>30</v>
      </c>
      <c r="C417" s="13" t="s">
        <v>950</v>
      </c>
      <c r="D417" s="13" t="s">
        <v>25</v>
      </c>
      <c r="E417" s="13">
        <v>8</v>
      </c>
      <c r="F417" s="13">
        <v>3</v>
      </c>
      <c r="G417" s="14">
        <f t="shared" si="35"/>
        <v>0.375</v>
      </c>
      <c r="H417" s="15" t="s">
        <v>951</v>
      </c>
      <c r="I417" s="15"/>
      <c r="J417" s="13">
        <v>17.47</v>
      </c>
      <c r="K417" s="13">
        <v>0</v>
      </c>
      <c r="L417" s="34" t="s">
        <v>37</v>
      </c>
      <c r="M417" s="35">
        <f t="shared" si="36"/>
        <v>1</v>
      </c>
      <c r="N417" s="31"/>
      <c r="O417" s="13"/>
      <c r="P417" s="13"/>
      <c r="Q417" s="13"/>
      <c r="R417" s="45" t="s">
        <v>52</v>
      </c>
      <c r="S417" s="37"/>
      <c r="T417" s="37"/>
      <c r="U417" s="37"/>
    </row>
    <row r="418" s="1" customFormat="1" ht="60" hidden="1" spans="1:21">
      <c r="A418" s="31" t="s">
        <v>883</v>
      </c>
      <c r="B418" s="31" t="s">
        <v>30</v>
      </c>
      <c r="C418" s="31" t="s">
        <v>952</v>
      </c>
      <c r="D418" s="31" t="s">
        <v>25</v>
      </c>
      <c r="E418" s="31">
        <v>13</v>
      </c>
      <c r="F418" s="31">
        <v>8</v>
      </c>
      <c r="G418" s="169">
        <f t="shared" si="35"/>
        <v>0.615384615384615</v>
      </c>
      <c r="H418" s="223" t="s">
        <v>953</v>
      </c>
      <c r="I418" s="223" t="s">
        <v>954</v>
      </c>
      <c r="J418" s="31">
        <v>23.12</v>
      </c>
      <c r="K418" s="31">
        <v>0</v>
      </c>
      <c r="L418" s="225"/>
      <c r="M418" s="189">
        <f t="shared" si="36"/>
        <v>1</v>
      </c>
      <c r="N418" s="13"/>
      <c r="O418" s="13"/>
      <c r="P418" s="13"/>
      <c r="Q418" s="13"/>
      <c r="R418" s="45" t="s">
        <v>27</v>
      </c>
      <c r="S418" s="37"/>
      <c r="T418" s="37"/>
      <c r="U418" s="37"/>
    </row>
    <row r="419" s="1" customFormat="1" ht="30" hidden="1" spans="1:21">
      <c r="A419" s="13" t="s">
        <v>883</v>
      </c>
      <c r="B419" s="13" t="s">
        <v>30</v>
      </c>
      <c r="C419" s="13" t="s">
        <v>955</v>
      </c>
      <c r="D419" s="13" t="s">
        <v>25</v>
      </c>
      <c r="E419" s="13">
        <v>15</v>
      </c>
      <c r="F419" s="13">
        <v>11</v>
      </c>
      <c r="G419" s="14">
        <f t="shared" si="35"/>
        <v>0.733333333333333</v>
      </c>
      <c r="H419" s="15" t="s">
        <v>956</v>
      </c>
      <c r="I419" s="15"/>
      <c r="J419" s="13">
        <v>37.83</v>
      </c>
      <c r="K419" s="13">
        <v>0</v>
      </c>
      <c r="L419" s="34" t="s">
        <v>37</v>
      </c>
      <c r="M419" s="35">
        <f t="shared" si="36"/>
        <v>1</v>
      </c>
      <c r="N419" s="13"/>
      <c r="O419" s="13"/>
      <c r="P419" s="13"/>
      <c r="Q419" s="13"/>
      <c r="R419" s="45" t="s">
        <v>27</v>
      </c>
      <c r="S419" s="37"/>
      <c r="T419" s="37"/>
      <c r="U419" s="37"/>
    </row>
    <row r="420" s="1" customFormat="1" ht="120" hidden="1" spans="1:21">
      <c r="A420" s="13" t="s">
        <v>883</v>
      </c>
      <c r="B420" s="13" t="s">
        <v>30</v>
      </c>
      <c r="C420" s="13" t="s">
        <v>957</v>
      </c>
      <c r="D420" s="13" t="s">
        <v>32</v>
      </c>
      <c r="E420" s="13">
        <v>14</v>
      </c>
      <c r="F420" s="13">
        <v>6</v>
      </c>
      <c r="G420" s="14">
        <f t="shared" si="35"/>
        <v>0.428571428571429</v>
      </c>
      <c r="H420" s="15" t="s">
        <v>958</v>
      </c>
      <c r="I420" s="15" t="s">
        <v>959</v>
      </c>
      <c r="J420" s="13">
        <v>23.5</v>
      </c>
      <c r="K420" s="13">
        <v>1.08</v>
      </c>
      <c r="L420" s="34" t="s">
        <v>35</v>
      </c>
      <c r="M420" s="35">
        <f t="shared" si="36"/>
        <v>0.956061838893409</v>
      </c>
      <c r="N420" s="13"/>
      <c r="O420" s="13"/>
      <c r="P420" s="13"/>
      <c r="Q420" s="13"/>
      <c r="R420" s="45" t="s">
        <v>38</v>
      </c>
      <c r="S420" s="37"/>
      <c r="T420" s="37"/>
      <c r="U420" s="37"/>
    </row>
    <row r="421" s="1" customFormat="1" ht="30" hidden="1" spans="1:21">
      <c r="A421" s="13" t="s">
        <v>883</v>
      </c>
      <c r="B421" s="13" t="s">
        <v>30</v>
      </c>
      <c r="C421" s="13" t="s">
        <v>960</v>
      </c>
      <c r="D421" s="13" t="s">
        <v>25</v>
      </c>
      <c r="E421" s="13">
        <v>17</v>
      </c>
      <c r="F421" s="13">
        <v>15</v>
      </c>
      <c r="G421" s="14">
        <f t="shared" si="35"/>
        <v>0.882352941176471</v>
      </c>
      <c r="H421" s="15" t="s">
        <v>961</v>
      </c>
      <c r="I421" s="15"/>
      <c r="J421" s="13">
        <v>56.6</v>
      </c>
      <c r="K421" s="13">
        <v>0</v>
      </c>
      <c r="L421" s="34"/>
      <c r="M421" s="35">
        <f t="shared" si="36"/>
        <v>1</v>
      </c>
      <c r="N421" s="13"/>
      <c r="O421" s="13"/>
      <c r="P421" s="13"/>
      <c r="Q421" s="13"/>
      <c r="R421" s="45" t="s">
        <v>38</v>
      </c>
      <c r="S421" s="37"/>
      <c r="T421" s="37"/>
      <c r="U421" s="37"/>
    </row>
    <row r="422" s="1" customFormat="1" ht="45" hidden="1" spans="1:21">
      <c r="A422" s="13" t="s">
        <v>883</v>
      </c>
      <c r="B422" s="13" t="s">
        <v>30</v>
      </c>
      <c r="C422" s="13" t="s">
        <v>962</v>
      </c>
      <c r="D422" s="13" t="s">
        <v>32</v>
      </c>
      <c r="E422" s="13">
        <v>8</v>
      </c>
      <c r="F422" s="13">
        <v>6</v>
      </c>
      <c r="G422" s="14">
        <f t="shared" si="35"/>
        <v>0.75</v>
      </c>
      <c r="H422" s="15" t="s">
        <v>963</v>
      </c>
      <c r="I422" s="15" t="s">
        <v>964</v>
      </c>
      <c r="J422" s="13">
        <v>19.13</v>
      </c>
      <c r="K422" s="13">
        <v>1.28</v>
      </c>
      <c r="L422" s="34" t="s">
        <v>37</v>
      </c>
      <c r="M422" s="35">
        <f t="shared" si="36"/>
        <v>0.937285644292014</v>
      </c>
      <c r="N422" s="13"/>
      <c r="O422" s="13"/>
      <c r="P422" s="13"/>
      <c r="Q422" s="13"/>
      <c r="R422" s="45" t="s">
        <v>27</v>
      </c>
      <c r="S422" s="37"/>
      <c r="T422" s="37"/>
      <c r="U422" s="37"/>
    </row>
    <row r="423" s="1" customFormat="1" ht="15" hidden="1" spans="1:21">
      <c r="A423" s="13" t="s">
        <v>883</v>
      </c>
      <c r="B423" s="13" t="s">
        <v>30</v>
      </c>
      <c r="C423" s="13" t="s">
        <v>965</v>
      </c>
      <c r="D423" s="13" t="s">
        <v>25</v>
      </c>
      <c r="E423" s="13">
        <v>4</v>
      </c>
      <c r="F423" s="13">
        <v>4</v>
      </c>
      <c r="G423" s="14">
        <f t="shared" si="35"/>
        <v>1</v>
      </c>
      <c r="H423" s="15">
        <v>0</v>
      </c>
      <c r="I423" s="15"/>
      <c r="J423" s="13">
        <v>15.29</v>
      </c>
      <c r="K423" s="13">
        <v>0</v>
      </c>
      <c r="L423" s="34"/>
      <c r="M423" s="35">
        <f t="shared" si="36"/>
        <v>1</v>
      </c>
      <c r="N423" s="13"/>
      <c r="O423" s="13"/>
      <c r="P423" s="13"/>
      <c r="Q423" s="13"/>
      <c r="R423" s="45"/>
      <c r="S423" s="37"/>
      <c r="T423" s="37"/>
      <c r="U423" s="37"/>
    </row>
    <row r="424" s="1" customFormat="1" ht="15" hidden="1" spans="1:21">
      <c r="A424" s="13" t="s">
        <v>883</v>
      </c>
      <c r="B424" s="13" t="s">
        <v>23</v>
      </c>
      <c r="C424" s="13" t="s">
        <v>966</v>
      </c>
      <c r="D424" s="13" t="s">
        <v>25</v>
      </c>
      <c r="E424" s="13">
        <v>10</v>
      </c>
      <c r="F424" s="13">
        <v>9</v>
      </c>
      <c r="G424" s="14">
        <f t="shared" si="35"/>
        <v>0.9</v>
      </c>
      <c r="H424" s="15" t="s">
        <v>967</v>
      </c>
      <c r="I424" s="15"/>
      <c r="J424" s="13">
        <v>30.32</v>
      </c>
      <c r="K424" s="13">
        <v>0</v>
      </c>
      <c r="L424" s="34"/>
      <c r="M424" s="35">
        <f t="shared" si="36"/>
        <v>1</v>
      </c>
      <c r="N424" s="13"/>
      <c r="O424" s="13"/>
      <c r="P424" s="13"/>
      <c r="Q424" s="13"/>
      <c r="R424" s="45" t="s">
        <v>27</v>
      </c>
      <c r="S424" s="37"/>
      <c r="T424" s="37"/>
      <c r="U424" s="37"/>
    </row>
    <row r="425" ht="25" customHeight="1" spans="1:15">
      <c r="A425" s="75" t="s">
        <v>968</v>
      </c>
      <c r="B425" s="75"/>
      <c r="C425" s="75"/>
      <c r="D425" s="75"/>
      <c r="E425" s="75"/>
      <c r="F425" s="75"/>
      <c r="G425" s="75"/>
      <c r="H425" s="75"/>
      <c r="I425" s="75"/>
      <c r="J425" s="75">
        <f>SUM(J91:J118)</f>
        <v>701.26</v>
      </c>
      <c r="K425" s="75">
        <f>SUM(K91:K118)</f>
        <v>340.77</v>
      </c>
      <c r="L425" s="75"/>
      <c r="M425" s="95">
        <f>J425/(J425+K425)</f>
        <v>0.672974866366611</v>
      </c>
      <c r="O425" s="97"/>
    </row>
  </sheetData>
  <autoFilter ref="A2:W424">
    <filterColumn colId="0">
      <filters>
        <filter val="邳州"/>
      </filters>
    </filterColumn>
    <extLst/>
  </autoFilter>
  <mergeCells count="824">
    <mergeCell ref="A1:S1"/>
    <mergeCell ref="A5:A13"/>
    <mergeCell ref="A14:A20"/>
    <mergeCell ref="A22:A24"/>
    <mergeCell ref="A25:A29"/>
    <mergeCell ref="A30:A33"/>
    <mergeCell ref="A34:A41"/>
    <mergeCell ref="A42:A51"/>
    <mergeCell ref="A52:A54"/>
    <mergeCell ref="A57:A68"/>
    <mergeCell ref="A70:A75"/>
    <mergeCell ref="A76:A80"/>
    <mergeCell ref="A126:A131"/>
    <mergeCell ref="A132:A135"/>
    <mergeCell ref="A136:A137"/>
    <mergeCell ref="A138:A140"/>
    <mergeCell ref="A141:A144"/>
    <mergeCell ref="A146:A150"/>
    <mergeCell ref="A151:A155"/>
    <mergeCell ref="A156:A157"/>
    <mergeCell ref="A158:A160"/>
    <mergeCell ref="A161:A165"/>
    <mergeCell ref="A166:A169"/>
    <mergeCell ref="A201:A205"/>
    <mergeCell ref="A206:A207"/>
    <mergeCell ref="A210:A212"/>
    <mergeCell ref="A214:A220"/>
    <mergeCell ref="A226:A235"/>
    <mergeCell ref="A239:A241"/>
    <mergeCell ref="A243:A253"/>
    <mergeCell ref="A258:A259"/>
    <mergeCell ref="A260:A264"/>
    <mergeCell ref="A265:A266"/>
    <mergeCell ref="A267:A269"/>
    <mergeCell ref="A270:A272"/>
    <mergeCell ref="A275:A281"/>
    <mergeCell ref="A282:A284"/>
    <mergeCell ref="A285:A287"/>
    <mergeCell ref="A288:A292"/>
    <mergeCell ref="A296:A297"/>
    <mergeCell ref="A299:A300"/>
    <mergeCell ref="A301:A302"/>
    <mergeCell ref="A328:A331"/>
    <mergeCell ref="A333:A337"/>
    <mergeCell ref="A338:A340"/>
    <mergeCell ref="A343:A344"/>
    <mergeCell ref="A345:A347"/>
    <mergeCell ref="A348:A349"/>
    <mergeCell ref="A357:A358"/>
    <mergeCell ref="A361:A363"/>
    <mergeCell ref="A364:A367"/>
    <mergeCell ref="A368:A372"/>
    <mergeCell ref="A374:A377"/>
    <mergeCell ref="A378:A379"/>
    <mergeCell ref="A380:A381"/>
    <mergeCell ref="A382:A385"/>
    <mergeCell ref="A389:A390"/>
    <mergeCell ref="A403:A405"/>
    <mergeCell ref="A406:A410"/>
    <mergeCell ref="A413:A415"/>
    <mergeCell ref="B5:B13"/>
    <mergeCell ref="B14:B20"/>
    <mergeCell ref="B22:B24"/>
    <mergeCell ref="B25:B29"/>
    <mergeCell ref="B30:B33"/>
    <mergeCell ref="B34:B41"/>
    <mergeCell ref="B42:B51"/>
    <mergeCell ref="B52:B54"/>
    <mergeCell ref="B57:B68"/>
    <mergeCell ref="B70:B75"/>
    <mergeCell ref="B76:B80"/>
    <mergeCell ref="B126:B131"/>
    <mergeCell ref="B132:B135"/>
    <mergeCell ref="B136:B137"/>
    <mergeCell ref="B138:B140"/>
    <mergeCell ref="B141:B144"/>
    <mergeCell ref="B146:B150"/>
    <mergeCell ref="B151:B155"/>
    <mergeCell ref="B156:B157"/>
    <mergeCell ref="B158:B160"/>
    <mergeCell ref="B161:B165"/>
    <mergeCell ref="B166:B169"/>
    <mergeCell ref="B201:B205"/>
    <mergeCell ref="B206:B207"/>
    <mergeCell ref="B210:B212"/>
    <mergeCell ref="B214:B220"/>
    <mergeCell ref="B226:B235"/>
    <mergeCell ref="B239:B241"/>
    <mergeCell ref="B243:B253"/>
    <mergeCell ref="B258:B259"/>
    <mergeCell ref="B260:B264"/>
    <mergeCell ref="B265:B266"/>
    <mergeCell ref="B267:B269"/>
    <mergeCell ref="B270:B272"/>
    <mergeCell ref="B275:B281"/>
    <mergeCell ref="B282:B284"/>
    <mergeCell ref="B285:B287"/>
    <mergeCell ref="B288:B292"/>
    <mergeCell ref="B296:B297"/>
    <mergeCell ref="B299:B300"/>
    <mergeCell ref="B301:B302"/>
    <mergeCell ref="B328:B331"/>
    <mergeCell ref="B333:B337"/>
    <mergeCell ref="B338:B340"/>
    <mergeCell ref="B343:B344"/>
    <mergeCell ref="B345:B347"/>
    <mergeCell ref="B348:B349"/>
    <mergeCell ref="B357:B358"/>
    <mergeCell ref="B361:B363"/>
    <mergeCell ref="B364:B367"/>
    <mergeCell ref="B368:B372"/>
    <mergeCell ref="B374:B377"/>
    <mergeCell ref="B378:B379"/>
    <mergeCell ref="B380:B381"/>
    <mergeCell ref="B382:B385"/>
    <mergeCell ref="B389:B390"/>
    <mergeCell ref="B403:B405"/>
    <mergeCell ref="B406:B410"/>
    <mergeCell ref="B413:B415"/>
    <mergeCell ref="C5:C13"/>
    <mergeCell ref="C14:C20"/>
    <mergeCell ref="C22:C24"/>
    <mergeCell ref="C25:C29"/>
    <mergeCell ref="C30:C33"/>
    <mergeCell ref="C34:C41"/>
    <mergeCell ref="C42:C51"/>
    <mergeCell ref="C52:C54"/>
    <mergeCell ref="C57:C68"/>
    <mergeCell ref="C70:C75"/>
    <mergeCell ref="C76:C80"/>
    <mergeCell ref="C126:C131"/>
    <mergeCell ref="C132:C135"/>
    <mergeCell ref="C136:C137"/>
    <mergeCell ref="C138:C140"/>
    <mergeCell ref="C141:C144"/>
    <mergeCell ref="C146:C150"/>
    <mergeCell ref="C151:C155"/>
    <mergeCell ref="C156:C157"/>
    <mergeCell ref="C158:C160"/>
    <mergeCell ref="C161:C165"/>
    <mergeCell ref="C166:C169"/>
    <mergeCell ref="C201:C205"/>
    <mergeCell ref="C206:C207"/>
    <mergeCell ref="C210:C212"/>
    <mergeCell ref="C214:C220"/>
    <mergeCell ref="C226:C235"/>
    <mergeCell ref="C239:C241"/>
    <mergeCell ref="C243:C253"/>
    <mergeCell ref="C258:C259"/>
    <mergeCell ref="C260:C264"/>
    <mergeCell ref="C265:C266"/>
    <mergeCell ref="C267:C269"/>
    <mergeCell ref="C270:C272"/>
    <mergeCell ref="C275:C281"/>
    <mergeCell ref="C282:C284"/>
    <mergeCell ref="C285:C287"/>
    <mergeCell ref="C288:C292"/>
    <mergeCell ref="C296:C297"/>
    <mergeCell ref="C299:C300"/>
    <mergeCell ref="C301:C302"/>
    <mergeCell ref="C328:C331"/>
    <mergeCell ref="C333:C337"/>
    <mergeCell ref="C338:C340"/>
    <mergeCell ref="C343:C344"/>
    <mergeCell ref="C345:C347"/>
    <mergeCell ref="C348:C349"/>
    <mergeCell ref="C357:C358"/>
    <mergeCell ref="C361:C363"/>
    <mergeCell ref="C364:C367"/>
    <mergeCell ref="C368:C372"/>
    <mergeCell ref="C374:C377"/>
    <mergeCell ref="C378:C379"/>
    <mergeCell ref="C380:C381"/>
    <mergeCell ref="C382:C385"/>
    <mergeCell ref="C389:C390"/>
    <mergeCell ref="C403:C405"/>
    <mergeCell ref="C406:C410"/>
    <mergeCell ref="C413:C415"/>
    <mergeCell ref="D5:D13"/>
    <mergeCell ref="D14:D20"/>
    <mergeCell ref="D22:D24"/>
    <mergeCell ref="D25:D29"/>
    <mergeCell ref="D30:D33"/>
    <mergeCell ref="D34:D41"/>
    <mergeCell ref="D42:D51"/>
    <mergeCell ref="D52:D54"/>
    <mergeCell ref="D57:D68"/>
    <mergeCell ref="D70:D75"/>
    <mergeCell ref="D76:D80"/>
    <mergeCell ref="D126:D131"/>
    <mergeCell ref="D132:D135"/>
    <mergeCell ref="D136:D137"/>
    <mergeCell ref="D138:D140"/>
    <mergeCell ref="D141:D144"/>
    <mergeCell ref="D146:D150"/>
    <mergeCell ref="D151:D155"/>
    <mergeCell ref="D156:D157"/>
    <mergeCell ref="D158:D160"/>
    <mergeCell ref="D161:D165"/>
    <mergeCell ref="D166:D169"/>
    <mergeCell ref="D201:D205"/>
    <mergeCell ref="D206:D207"/>
    <mergeCell ref="D210:D212"/>
    <mergeCell ref="D214:D220"/>
    <mergeCell ref="D226:D235"/>
    <mergeCell ref="D239:D241"/>
    <mergeCell ref="D243:D253"/>
    <mergeCell ref="D258:D259"/>
    <mergeCell ref="D260:D264"/>
    <mergeCell ref="D265:D266"/>
    <mergeCell ref="D267:D269"/>
    <mergeCell ref="D270:D272"/>
    <mergeCell ref="D275:D281"/>
    <mergeCell ref="D282:D284"/>
    <mergeCell ref="D285:D287"/>
    <mergeCell ref="D288:D292"/>
    <mergeCell ref="D296:D297"/>
    <mergeCell ref="D299:D300"/>
    <mergeCell ref="D301:D302"/>
    <mergeCell ref="D328:D331"/>
    <mergeCell ref="D333:D337"/>
    <mergeCell ref="D338:D340"/>
    <mergeCell ref="D343:D344"/>
    <mergeCell ref="D345:D347"/>
    <mergeCell ref="D348:D349"/>
    <mergeCell ref="D357:D358"/>
    <mergeCell ref="D361:D363"/>
    <mergeCell ref="D364:D367"/>
    <mergeCell ref="D368:D372"/>
    <mergeCell ref="D374:D377"/>
    <mergeCell ref="D378:D379"/>
    <mergeCell ref="D380:D381"/>
    <mergeCell ref="D382:D385"/>
    <mergeCell ref="D389:D390"/>
    <mergeCell ref="D403:D405"/>
    <mergeCell ref="D406:D410"/>
    <mergeCell ref="D413:D415"/>
    <mergeCell ref="E5:E13"/>
    <mergeCell ref="E14:E20"/>
    <mergeCell ref="E22:E24"/>
    <mergeCell ref="E25:E29"/>
    <mergeCell ref="E30:E33"/>
    <mergeCell ref="E34:E41"/>
    <mergeCell ref="E42:E51"/>
    <mergeCell ref="E52:E54"/>
    <mergeCell ref="E57:E68"/>
    <mergeCell ref="E70:E75"/>
    <mergeCell ref="E76:E80"/>
    <mergeCell ref="E126:E131"/>
    <mergeCell ref="E132:E135"/>
    <mergeCell ref="E136:E137"/>
    <mergeCell ref="E138:E140"/>
    <mergeCell ref="E141:E144"/>
    <mergeCell ref="E146:E150"/>
    <mergeCell ref="E151:E155"/>
    <mergeCell ref="E156:E157"/>
    <mergeCell ref="E158:E160"/>
    <mergeCell ref="E161:E165"/>
    <mergeCell ref="E166:E169"/>
    <mergeCell ref="E201:E205"/>
    <mergeCell ref="E206:E207"/>
    <mergeCell ref="E210:E212"/>
    <mergeCell ref="E214:E220"/>
    <mergeCell ref="E226:E235"/>
    <mergeCell ref="E239:E241"/>
    <mergeCell ref="E243:E253"/>
    <mergeCell ref="E258:E259"/>
    <mergeCell ref="E260:E264"/>
    <mergeCell ref="E265:E266"/>
    <mergeCell ref="E267:E269"/>
    <mergeCell ref="E270:E272"/>
    <mergeCell ref="E275:E281"/>
    <mergeCell ref="E282:E284"/>
    <mergeCell ref="E285:E287"/>
    <mergeCell ref="E288:E292"/>
    <mergeCell ref="E296:E297"/>
    <mergeCell ref="E299:E300"/>
    <mergeCell ref="E301:E302"/>
    <mergeCell ref="E328:E331"/>
    <mergeCell ref="E333:E337"/>
    <mergeCell ref="E338:E340"/>
    <mergeCell ref="E343:E344"/>
    <mergeCell ref="E345:E347"/>
    <mergeCell ref="E348:E349"/>
    <mergeCell ref="E357:E358"/>
    <mergeCell ref="E361:E363"/>
    <mergeCell ref="E364:E367"/>
    <mergeCell ref="E368:E372"/>
    <mergeCell ref="E374:E377"/>
    <mergeCell ref="E378:E379"/>
    <mergeCell ref="E380:E381"/>
    <mergeCell ref="E382:E385"/>
    <mergeCell ref="E389:E390"/>
    <mergeCell ref="E403:E405"/>
    <mergeCell ref="E406:E410"/>
    <mergeCell ref="E413:E415"/>
    <mergeCell ref="F5:F13"/>
    <mergeCell ref="F14:F20"/>
    <mergeCell ref="F22:F24"/>
    <mergeCell ref="F25:F29"/>
    <mergeCell ref="F30:F33"/>
    <mergeCell ref="F34:F41"/>
    <mergeCell ref="F42:F51"/>
    <mergeCell ref="F52:F54"/>
    <mergeCell ref="F57:F68"/>
    <mergeCell ref="F70:F75"/>
    <mergeCell ref="F76:F80"/>
    <mergeCell ref="F126:F131"/>
    <mergeCell ref="F132:F135"/>
    <mergeCell ref="F136:F137"/>
    <mergeCell ref="F138:F140"/>
    <mergeCell ref="F141:F144"/>
    <mergeCell ref="F146:F150"/>
    <mergeCell ref="F151:F155"/>
    <mergeCell ref="F156:F157"/>
    <mergeCell ref="F158:F160"/>
    <mergeCell ref="F161:F165"/>
    <mergeCell ref="F166:F169"/>
    <mergeCell ref="F201:F205"/>
    <mergeCell ref="F206:F207"/>
    <mergeCell ref="F210:F212"/>
    <mergeCell ref="F214:F220"/>
    <mergeCell ref="F226:F235"/>
    <mergeCell ref="F239:F241"/>
    <mergeCell ref="F243:F253"/>
    <mergeCell ref="F258:F259"/>
    <mergeCell ref="F260:F264"/>
    <mergeCell ref="F265:F266"/>
    <mergeCell ref="F267:F269"/>
    <mergeCell ref="F270:F272"/>
    <mergeCell ref="F275:F281"/>
    <mergeCell ref="F282:F284"/>
    <mergeCell ref="F285:F287"/>
    <mergeCell ref="F288:F292"/>
    <mergeCell ref="F296:F297"/>
    <mergeCell ref="F299:F300"/>
    <mergeCell ref="F301:F302"/>
    <mergeCell ref="F328:F331"/>
    <mergeCell ref="F333:F337"/>
    <mergeCell ref="F338:F340"/>
    <mergeCell ref="F343:F344"/>
    <mergeCell ref="F345:F347"/>
    <mergeCell ref="F348:F349"/>
    <mergeCell ref="F357:F358"/>
    <mergeCell ref="F361:F363"/>
    <mergeCell ref="F364:F367"/>
    <mergeCell ref="F368:F372"/>
    <mergeCell ref="F374:F377"/>
    <mergeCell ref="F378:F379"/>
    <mergeCell ref="F380:F381"/>
    <mergeCell ref="F382:F385"/>
    <mergeCell ref="F389:F390"/>
    <mergeCell ref="F403:F405"/>
    <mergeCell ref="F406:F410"/>
    <mergeCell ref="F413:F415"/>
    <mergeCell ref="G5:G13"/>
    <mergeCell ref="G14:G20"/>
    <mergeCell ref="G22:G24"/>
    <mergeCell ref="G25:G29"/>
    <mergeCell ref="G30:G33"/>
    <mergeCell ref="G34:G41"/>
    <mergeCell ref="G42:G51"/>
    <mergeCell ref="G52:G54"/>
    <mergeCell ref="G57:G68"/>
    <mergeCell ref="G70:G75"/>
    <mergeCell ref="G76:G80"/>
    <mergeCell ref="G126:G131"/>
    <mergeCell ref="G132:G135"/>
    <mergeCell ref="G136:G137"/>
    <mergeCell ref="G138:G140"/>
    <mergeCell ref="G141:G144"/>
    <mergeCell ref="G146:G150"/>
    <mergeCell ref="G151:G155"/>
    <mergeCell ref="G156:G157"/>
    <mergeCell ref="G158:G160"/>
    <mergeCell ref="G161:G165"/>
    <mergeCell ref="G166:G169"/>
    <mergeCell ref="G201:G205"/>
    <mergeCell ref="G206:G207"/>
    <mergeCell ref="G210:G212"/>
    <mergeCell ref="G214:G220"/>
    <mergeCell ref="G226:G235"/>
    <mergeCell ref="G239:G241"/>
    <mergeCell ref="G243:G253"/>
    <mergeCell ref="G258:G259"/>
    <mergeCell ref="G260:G264"/>
    <mergeCell ref="G265:G266"/>
    <mergeCell ref="G267:G269"/>
    <mergeCell ref="G270:G272"/>
    <mergeCell ref="G275:G281"/>
    <mergeCell ref="G282:G284"/>
    <mergeCell ref="G285:G287"/>
    <mergeCell ref="G288:G292"/>
    <mergeCell ref="G296:G297"/>
    <mergeCell ref="G299:G300"/>
    <mergeCell ref="G301:G302"/>
    <mergeCell ref="G328:G331"/>
    <mergeCell ref="G333:G337"/>
    <mergeCell ref="G338:G340"/>
    <mergeCell ref="G343:G344"/>
    <mergeCell ref="G345:G347"/>
    <mergeCell ref="G348:G349"/>
    <mergeCell ref="G357:G358"/>
    <mergeCell ref="G361:G363"/>
    <mergeCell ref="G364:G367"/>
    <mergeCell ref="G368:G372"/>
    <mergeCell ref="G374:G377"/>
    <mergeCell ref="G378:G379"/>
    <mergeCell ref="G380:G381"/>
    <mergeCell ref="G382:G385"/>
    <mergeCell ref="G389:G390"/>
    <mergeCell ref="G403:G405"/>
    <mergeCell ref="G406:G410"/>
    <mergeCell ref="G413:G415"/>
    <mergeCell ref="H5:H13"/>
    <mergeCell ref="H14:H20"/>
    <mergeCell ref="H22:H24"/>
    <mergeCell ref="H25:H29"/>
    <mergeCell ref="H30:H33"/>
    <mergeCell ref="H34:H41"/>
    <mergeCell ref="H42:H51"/>
    <mergeCell ref="H52:H54"/>
    <mergeCell ref="H57:H68"/>
    <mergeCell ref="H70:H75"/>
    <mergeCell ref="H76:H80"/>
    <mergeCell ref="H126:H131"/>
    <mergeCell ref="H132:H135"/>
    <mergeCell ref="H136:H137"/>
    <mergeCell ref="H138:H140"/>
    <mergeCell ref="H141:H144"/>
    <mergeCell ref="H146:H150"/>
    <mergeCell ref="H151:H155"/>
    <mergeCell ref="H156:H157"/>
    <mergeCell ref="H158:H160"/>
    <mergeCell ref="H161:H165"/>
    <mergeCell ref="H166:H169"/>
    <mergeCell ref="H201:H205"/>
    <mergeCell ref="H206:H207"/>
    <mergeCell ref="H210:H212"/>
    <mergeCell ref="H214:H220"/>
    <mergeCell ref="H226:H235"/>
    <mergeCell ref="H239:H241"/>
    <mergeCell ref="H243:H253"/>
    <mergeCell ref="H258:H259"/>
    <mergeCell ref="H260:H264"/>
    <mergeCell ref="H265:H266"/>
    <mergeCell ref="H267:H269"/>
    <mergeCell ref="H270:H272"/>
    <mergeCell ref="H275:H281"/>
    <mergeCell ref="H282:H284"/>
    <mergeCell ref="H285:H287"/>
    <mergeCell ref="H288:H292"/>
    <mergeCell ref="H296:H297"/>
    <mergeCell ref="H299:H300"/>
    <mergeCell ref="H301:H302"/>
    <mergeCell ref="H328:H331"/>
    <mergeCell ref="H333:H337"/>
    <mergeCell ref="H338:H340"/>
    <mergeCell ref="H343:H344"/>
    <mergeCell ref="H345:H347"/>
    <mergeCell ref="H348:H349"/>
    <mergeCell ref="H357:H358"/>
    <mergeCell ref="H361:H363"/>
    <mergeCell ref="H364:H367"/>
    <mergeCell ref="H368:H372"/>
    <mergeCell ref="H374:H377"/>
    <mergeCell ref="H378:H379"/>
    <mergeCell ref="H380:H381"/>
    <mergeCell ref="H382:H385"/>
    <mergeCell ref="H389:H390"/>
    <mergeCell ref="H403:H405"/>
    <mergeCell ref="H406:H410"/>
    <mergeCell ref="H413:H415"/>
    <mergeCell ref="I5:I13"/>
    <mergeCell ref="I14:I20"/>
    <mergeCell ref="I22:I24"/>
    <mergeCell ref="I25:I29"/>
    <mergeCell ref="I30:I33"/>
    <mergeCell ref="I34:I41"/>
    <mergeCell ref="I42:I51"/>
    <mergeCell ref="I52:I54"/>
    <mergeCell ref="I57:I68"/>
    <mergeCell ref="I70:I75"/>
    <mergeCell ref="I76:I80"/>
    <mergeCell ref="I126:I131"/>
    <mergeCell ref="I132:I135"/>
    <mergeCell ref="I136:I137"/>
    <mergeCell ref="I138:I140"/>
    <mergeCell ref="I141:I144"/>
    <mergeCell ref="I146:I150"/>
    <mergeCell ref="I151:I155"/>
    <mergeCell ref="I156:I157"/>
    <mergeCell ref="I158:I160"/>
    <mergeCell ref="I161:I165"/>
    <mergeCell ref="I166:I169"/>
    <mergeCell ref="I201:I205"/>
    <mergeCell ref="I206:I207"/>
    <mergeCell ref="I210:I212"/>
    <mergeCell ref="I214:I220"/>
    <mergeCell ref="I226:I235"/>
    <mergeCell ref="I239:I241"/>
    <mergeCell ref="I243:I253"/>
    <mergeCell ref="I258:I259"/>
    <mergeCell ref="I260:I264"/>
    <mergeCell ref="I265:I266"/>
    <mergeCell ref="I267:I269"/>
    <mergeCell ref="I270:I272"/>
    <mergeCell ref="I275:I281"/>
    <mergeCell ref="I282:I284"/>
    <mergeCell ref="I285:I287"/>
    <mergeCell ref="I288:I292"/>
    <mergeCell ref="I296:I297"/>
    <mergeCell ref="I299:I300"/>
    <mergeCell ref="I301:I302"/>
    <mergeCell ref="I328:I331"/>
    <mergeCell ref="I333:I337"/>
    <mergeCell ref="I338:I340"/>
    <mergeCell ref="I343:I344"/>
    <mergeCell ref="I345:I347"/>
    <mergeCell ref="I348:I349"/>
    <mergeCell ref="I357:I358"/>
    <mergeCell ref="I361:I363"/>
    <mergeCell ref="I364:I367"/>
    <mergeCell ref="I368:I372"/>
    <mergeCell ref="I374:I377"/>
    <mergeCell ref="I378:I379"/>
    <mergeCell ref="I380:I381"/>
    <mergeCell ref="I382:I385"/>
    <mergeCell ref="I389:I390"/>
    <mergeCell ref="I403:I405"/>
    <mergeCell ref="I406:I410"/>
    <mergeCell ref="I413:I415"/>
    <mergeCell ref="J5:J13"/>
    <mergeCell ref="J14:J20"/>
    <mergeCell ref="J22:J24"/>
    <mergeCell ref="J25:J29"/>
    <mergeCell ref="J30:J33"/>
    <mergeCell ref="J34:J41"/>
    <mergeCell ref="J42:J51"/>
    <mergeCell ref="J52:J54"/>
    <mergeCell ref="J57:J68"/>
    <mergeCell ref="J70:J75"/>
    <mergeCell ref="J76:J80"/>
    <mergeCell ref="J126:J131"/>
    <mergeCell ref="J132:J135"/>
    <mergeCell ref="J136:J137"/>
    <mergeCell ref="J138:J140"/>
    <mergeCell ref="J141:J144"/>
    <mergeCell ref="J146:J150"/>
    <mergeCell ref="J151:J155"/>
    <mergeCell ref="J156:J157"/>
    <mergeCell ref="J158:J160"/>
    <mergeCell ref="J161:J165"/>
    <mergeCell ref="J166:J169"/>
    <mergeCell ref="J201:J205"/>
    <mergeCell ref="J206:J207"/>
    <mergeCell ref="J210:J212"/>
    <mergeCell ref="J214:J220"/>
    <mergeCell ref="J226:J235"/>
    <mergeCell ref="J239:J241"/>
    <mergeCell ref="J243:J253"/>
    <mergeCell ref="J258:J259"/>
    <mergeCell ref="J260:J264"/>
    <mergeCell ref="J265:J266"/>
    <mergeCell ref="J267:J269"/>
    <mergeCell ref="J270:J272"/>
    <mergeCell ref="J275:J281"/>
    <mergeCell ref="J282:J284"/>
    <mergeCell ref="J285:J287"/>
    <mergeCell ref="J288:J292"/>
    <mergeCell ref="J296:J297"/>
    <mergeCell ref="J299:J300"/>
    <mergeCell ref="J301:J302"/>
    <mergeCell ref="J328:J331"/>
    <mergeCell ref="J333:J337"/>
    <mergeCell ref="J338:J340"/>
    <mergeCell ref="J343:J344"/>
    <mergeCell ref="J345:J347"/>
    <mergeCell ref="J348:J349"/>
    <mergeCell ref="J357:J358"/>
    <mergeCell ref="J361:J363"/>
    <mergeCell ref="J364:J367"/>
    <mergeCell ref="J368:J372"/>
    <mergeCell ref="J374:J377"/>
    <mergeCell ref="J378:J379"/>
    <mergeCell ref="J380:J381"/>
    <mergeCell ref="J382:J385"/>
    <mergeCell ref="J389:J390"/>
    <mergeCell ref="J403:J405"/>
    <mergeCell ref="J406:J410"/>
    <mergeCell ref="J413:J415"/>
    <mergeCell ref="K5:K13"/>
    <mergeCell ref="K14:K20"/>
    <mergeCell ref="K22:K24"/>
    <mergeCell ref="K25:K29"/>
    <mergeCell ref="K30:K33"/>
    <mergeCell ref="K34:K41"/>
    <mergeCell ref="K42:K51"/>
    <mergeCell ref="K52:K54"/>
    <mergeCell ref="K57:K68"/>
    <mergeCell ref="K70:K75"/>
    <mergeCell ref="K76:K80"/>
    <mergeCell ref="K126:K131"/>
    <mergeCell ref="K132:K135"/>
    <mergeCell ref="K136:K137"/>
    <mergeCell ref="K138:K140"/>
    <mergeCell ref="K141:K144"/>
    <mergeCell ref="K146:K150"/>
    <mergeCell ref="K151:K155"/>
    <mergeCell ref="K156:K157"/>
    <mergeCell ref="K158:K160"/>
    <mergeCell ref="K161:K165"/>
    <mergeCell ref="K166:K169"/>
    <mergeCell ref="K201:K205"/>
    <mergeCell ref="K206:K207"/>
    <mergeCell ref="K210:K212"/>
    <mergeCell ref="K214:K220"/>
    <mergeCell ref="K226:K235"/>
    <mergeCell ref="K239:K241"/>
    <mergeCell ref="K243:K253"/>
    <mergeCell ref="K258:K259"/>
    <mergeCell ref="K260:K264"/>
    <mergeCell ref="K265:K266"/>
    <mergeCell ref="K267:K269"/>
    <mergeCell ref="K270:K272"/>
    <mergeCell ref="K275:K281"/>
    <mergeCell ref="K282:K284"/>
    <mergeCell ref="K285:K287"/>
    <mergeCell ref="K288:K292"/>
    <mergeCell ref="K296:K297"/>
    <mergeCell ref="K299:K300"/>
    <mergeCell ref="K301:K302"/>
    <mergeCell ref="K328:K331"/>
    <mergeCell ref="K333:K337"/>
    <mergeCell ref="K338:K340"/>
    <mergeCell ref="K343:K344"/>
    <mergeCell ref="K345:K347"/>
    <mergeCell ref="K348:K349"/>
    <mergeCell ref="K357:K358"/>
    <mergeCell ref="K361:K363"/>
    <mergeCell ref="K364:K367"/>
    <mergeCell ref="K368:K372"/>
    <mergeCell ref="K374:K377"/>
    <mergeCell ref="K378:K379"/>
    <mergeCell ref="K380:K381"/>
    <mergeCell ref="K382:K385"/>
    <mergeCell ref="K389:K390"/>
    <mergeCell ref="K403:K405"/>
    <mergeCell ref="K406:K410"/>
    <mergeCell ref="K413:K415"/>
    <mergeCell ref="L5:L13"/>
    <mergeCell ref="L14:L20"/>
    <mergeCell ref="L22:L24"/>
    <mergeCell ref="L25:L29"/>
    <mergeCell ref="L30:L33"/>
    <mergeCell ref="L34:L41"/>
    <mergeCell ref="L42:L51"/>
    <mergeCell ref="L52:L54"/>
    <mergeCell ref="L57:L68"/>
    <mergeCell ref="L70:L75"/>
    <mergeCell ref="L76:L80"/>
    <mergeCell ref="L126:L131"/>
    <mergeCell ref="L132:L135"/>
    <mergeCell ref="L136:L137"/>
    <mergeCell ref="L138:L140"/>
    <mergeCell ref="L141:L144"/>
    <mergeCell ref="L146:L150"/>
    <mergeCell ref="L151:L155"/>
    <mergeCell ref="L156:L157"/>
    <mergeCell ref="L158:L160"/>
    <mergeCell ref="L161:L165"/>
    <mergeCell ref="L166:L169"/>
    <mergeCell ref="L201:L205"/>
    <mergeCell ref="L206:L207"/>
    <mergeCell ref="L210:L212"/>
    <mergeCell ref="L214:L220"/>
    <mergeCell ref="L226:L235"/>
    <mergeCell ref="L239:L241"/>
    <mergeCell ref="L243:L253"/>
    <mergeCell ref="L258:L259"/>
    <mergeCell ref="L260:L264"/>
    <mergeCell ref="L265:L266"/>
    <mergeCell ref="L267:L269"/>
    <mergeCell ref="L270:L272"/>
    <mergeCell ref="L275:L281"/>
    <mergeCell ref="L282:L284"/>
    <mergeCell ref="L285:L287"/>
    <mergeCell ref="L288:L292"/>
    <mergeCell ref="L296:L297"/>
    <mergeCell ref="L299:L300"/>
    <mergeCell ref="L301:L302"/>
    <mergeCell ref="L328:L331"/>
    <mergeCell ref="L333:L337"/>
    <mergeCell ref="L338:L340"/>
    <mergeCell ref="L343:L344"/>
    <mergeCell ref="L345:L347"/>
    <mergeCell ref="L348:L349"/>
    <mergeCell ref="L357:L358"/>
    <mergeCell ref="L361:L363"/>
    <mergeCell ref="L364:L367"/>
    <mergeCell ref="L368:L372"/>
    <mergeCell ref="L374:L377"/>
    <mergeCell ref="L378:L379"/>
    <mergeCell ref="L380:L381"/>
    <mergeCell ref="L382:L385"/>
    <mergeCell ref="L389:L390"/>
    <mergeCell ref="L403:L405"/>
    <mergeCell ref="L406:L410"/>
    <mergeCell ref="L413:L415"/>
    <mergeCell ref="M5:M13"/>
    <mergeCell ref="M14:M20"/>
    <mergeCell ref="M22:M24"/>
    <mergeCell ref="M25:M29"/>
    <mergeCell ref="M30:M33"/>
    <mergeCell ref="M34:M41"/>
    <mergeCell ref="M42:M51"/>
    <mergeCell ref="M52:M54"/>
    <mergeCell ref="M57:M68"/>
    <mergeCell ref="M70:M75"/>
    <mergeCell ref="M76:M80"/>
    <mergeCell ref="M126:M131"/>
    <mergeCell ref="M132:M135"/>
    <mergeCell ref="M136:M137"/>
    <mergeCell ref="M138:M140"/>
    <mergeCell ref="M141:M144"/>
    <mergeCell ref="M146:M150"/>
    <mergeCell ref="M151:M155"/>
    <mergeCell ref="M156:M157"/>
    <mergeCell ref="M158:M160"/>
    <mergeCell ref="M161:M165"/>
    <mergeCell ref="M166:M169"/>
    <mergeCell ref="M201:M205"/>
    <mergeCell ref="M206:M207"/>
    <mergeCell ref="M210:M212"/>
    <mergeCell ref="M214:M220"/>
    <mergeCell ref="M226:M235"/>
    <mergeCell ref="M239:M241"/>
    <mergeCell ref="M243:M253"/>
    <mergeCell ref="M258:M259"/>
    <mergeCell ref="M260:M264"/>
    <mergeCell ref="M265:M266"/>
    <mergeCell ref="M267:M269"/>
    <mergeCell ref="M270:M272"/>
    <mergeCell ref="M275:M281"/>
    <mergeCell ref="M282:M284"/>
    <mergeCell ref="M285:M287"/>
    <mergeCell ref="M288:M292"/>
    <mergeCell ref="M296:M297"/>
    <mergeCell ref="M299:M300"/>
    <mergeCell ref="M301:M302"/>
    <mergeCell ref="M328:M331"/>
    <mergeCell ref="M333:M337"/>
    <mergeCell ref="M338:M340"/>
    <mergeCell ref="M343:M344"/>
    <mergeCell ref="M345:M347"/>
    <mergeCell ref="M348:M349"/>
    <mergeCell ref="M357:M358"/>
    <mergeCell ref="M361:M363"/>
    <mergeCell ref="M364:M367"/>
    <mergeCell ref="M368:M372"/>
    <mergeCell ref="M374:M377"/>
    <mergeCell ref="M378:M379"/>
    <mergeCell ref="M380:M381"/>
    <mergeCell ref="M382:M385"/>
    <mergeCell ref="M389:M390"/>
    <mergeCell ref="M403:M405"/>
    <mergeCell ref="M406:M410"/>
    <mergeCell ref="M413:M415"/>
    <mergeCell ref="Q136:Q137"/>
    <mergeCell ref="R5:R13"/>
    <mergeCell ref="R14:R20"/>
    <mergeCell ref="R22:R24"/>
    <mergeCell ref="R25:R29"/>
    <mergeCell ref="R30:R33"/>
    <mergeCell ref="R34:R41"/>
    <mergeCell ref="R42:R51"/>
    <mergeCell ref="R52:R54"/>
    <mergeCell ref="R57:R68"/>
    <mergeCell ref="R70:R75"/>
    <mergeCell ref="R76:R80"/>
    <mergeCell ref="R126:R131"/>
    <mergeCell ref="R132:R135"/>
    <mergeCell ref="R136:R137"/>
    <mergeCell ref="R138:R140"/>
    <mergeCell ref="R141:R144"/>
    <mergeCell ref="R146:R150"/>
    <mergeCell ref="R151:R155"/>
    <mergeCell ref="R156:R157"/>
    <mergeCell ref="R158:R160"/>
    <mergeCell ref="R161:R165"/>
    <mergeCell ref="R166:R169"/>
    <mergeCell ref="R201:R205"/>
    <mergeCell ref="R206:R207"/>
    <mergeCell ref="R210:R212"/>
    <mergeCell ref="R214:R220"/>
    <mergeCell ref="R226:R235"/>
    <mergeCell ref="R239:R241"/>
    <mergeCell ref="R243:R253"/>
    <mergeCell ref="R258:R259"/>
    <mergeCell ref="R260:R264"/>
    <mergeCell ref="R265:R266"/>
    <mergeCell ref="R267:R269"/>
    <mergeCell ref="R270:R272"/>
    <mergeCell ref="R275:R281"/>
    <mergeCell ref="R282:R284"/>
    <mergeCell ref="R285:R287"/>
    <mergeCell ref="R288:R292"/>
    <mergeCell ref="R296:R297"/>
    <mergeCell ref="R299:R300"/>
    <mergeCell ref="R301:R302"/>
    <mergeCell ref="R328:R331"/>
    <mergeCell ref="R333:R337"/>
    <mergeCell ref="R338:R340"/>
    <mergeCell ref="R343:R344"/>
    <mergeCell ref="R345:R347"/>
    <mergeCell ref="R348:R349"/>
    <mergeCell ref="R357:R358"/>
    <mergeCell ref="R361:R363"/>
    <mergeCell ref="R364:R367"/>
    <mergeCell ref="R368:R372"/>
    <mergeCell ref="R374:R377"/>
    <mergeCell ref="R378:R379"/>
    <mergeCell ref="R380:R381"/>
    <mergeCell ref="R382:R385"/>
  </mergeCells>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D44" sqref="D44"/>
    </sheetView>
  </sheetViews>
  <sheetFormatPr defaultColWidth="9" defaultRowHeight="14"/>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26"/>
  <sheetViews>
    <sheetView topLeftCell="A208" workbookViewId="0">
      <selection activeCell="A2" sqref="A2:A226"/>
    </sheetView>
  </sheetViews>
  <sheetFormatPr defaultColWidth="9" defaultRowHeight="14" outlineLevelCol="1"/>
  <sheetData>
    <row r="1" spans="1:2">
      <c r="A1" t="s">
        <v>3</v>
      </c>
      <c r="B1" t="s">
        <v>969</v>
      </c>
    </row>
    <row r="2" spans="1:2">
      <c r="A2" t="s">
        <v>866</v>
      </c>
      <c r="B2">
        <v>2</v>
      </c>
    </row>
    <row r="3" spans="1:2">
      <c r="A3" t="s">
        <v>173</v>
      </c>
      <c r="B3">
        <v>2</v>
      </c>
    </row>
    <row r="4" spans="1:2">
      <c r="A4" t="s">
        <v>815</v>
      </c>
      <c r="B4">
        <v>1</v>
      </c>
    </row>
    <row r="5" spans="1:2">
      <c r="A5" t="s">
        <v>947</v>
      </c>
      <c r="B5">
        <v>1</v>
      </c>
    </row>
    <row r="6" spans="1:2">
      <c r="A6" t="s">
        <v>965</v>
      </c>
      <c r="B6">
        <v>1</v>
      </c>
    </row>
    <row r="7" spans="1:2">
      <c r="A7" t="s">
        <v>131</v>
      </c>
      <c r="B7">
        <v>1</v>
      </c>
    </row>
    <row r="8" spans="1:2">
      <c r="A8" t="s">
        <v>485</v>
      </c>
      <c r="B8">
        <v>1</v>
      </c>
    </row>
    <row r="9" spans="1:2">
      <c r="A9" t="s">
        <v>207</v>
      </c>
      <c r="B9">
        <v>1</v>
      </c>
    </row>
    <row r="10" spans="1:2">
      <c r="A10" t="s">
        <v>217</v>
      </c>
      <c r="B10">
        <v>1</v>
      </c>
    </row>
    <row r="11" spans="1:2">
      <c r="A11" t="s">
        <v>479</v>
      </c>
      <c r="B11">
        <v>1</v>
      </c>
    </row>
    <row r="12" spans="1:2">
      <c r="A12" t="s">
        <v>960</v>
      </c>
      <c r="B12">
        <v>1</v>
      </c>
    </row>
    <row r="13" spans="1:2">
      <c r="A13" t="s">
        <v>871</v>
      </c>
      <c r="B13">
        <v>1</v>
      </c>
    </row>
    <row r="14" spans="1:2">
      <c r="A14" t="s">
        <v>477</v>
      </c>
      <c r="B14">
        <v>1</v>
      </c>
    </row>
    <row r="15" spans="1:2">
      <c r="A15" t="s">
        <v>505</v>
      </c>
      <c r="B15">
        <v>1</v>
      </c>
    </row>
    <row r="16" spans="1:2">
      <c r="A16" t="s">
        <v>772</v>
      </c>
      <c r="B16">
        <v>1</v>
      </c>
    </row>
    <row r="17" spans="1:2">
      <c r="A17" t="s">
        <v>188</v>
      </c>
      <c r="B17">
        <v>1</v>
      </c>
    </row>
    <row r="18" spans="1:2">
      <c r="A18" t="s">
        <v>640</v>
      </c>
      <c r="B18">
        <v>1</v>
      </c>
    </row>
    <row r="19" spans="1:2">
      <c r="A19" t="s">
        <v>638</v>
      </c>
      <c r="B19">
        <v>1</v>
      </c>
    </row>
    <row r="20" spans="1:2">
      <c r="A20" t="s">
        <v>731</v>
      </c>
      <c r="B20">
        <v>1</v>
      </c>
    </row>
    <row r="21" spans="1:2">
      <c r="A21" t="s">
        <v>246</v>
      </c>
      <c r="B21">
        <v>1</v>
      </c>
    </row>
    <row r="22" spans="1:2">
      <c r="A22" t="s">
        <v>750</v>
      </c>
      <c r="B22">
        <v>1</v>
      </c>
    </row>
    <row r="23" spans="1:2">
      <c r="A23" t="s">
        <v>636</v>
      </c>
      <c r="B23">
        <v>1</v>
      </c>
    </row>
    <row r="24" spans="1:2">
      <c r="A24" t="s">
        <v>475</v>
      </c>
      <c r="B24">
        <v>1</v>
      </c>
    </row>
    <row r="25" spans="1:2">
      <c r="A25" t="s">
        <v>345</v>
      </c>
      <c r="B25">
        <v>1</v>
      </c>
    </row>
    <row r="26" spans="1:2">
      <c r="A26" t="s">
        <v>225</v>
      </c>
      <c r="B26">
        <v>1</v>
      </c>
    </row>
    <row r="27" spans="1:2">
      <c r="A27" t="s">
        <v>183</v>
      </c>
      <c r="B27">
        <v>1</v>
      </c>
    </row>
    <row r="28" spans="1:2">
      <c r="A28" t="s">
        <v>659</v>
      </c>
      <c r="B28">
        <v>1</v>
      </c>
    </row>
    <row r="29" spans="1:2">
      <c r="A29" t="s">
        <v>469</v>
      </c>
      <c r="B29">
        <v>1</v>
      </c>
    </row>
    <row r="30" spans="1:2">
      <c r="A30" t="s">
        <v>509</v>
      </c>
      <c r="B30">
        <v>1</v>
      </c>
    </row>
    <row r="31" spans="1:2">
      <c r="A31" t="s">
        <v>503</v>
      </c>
      <c r="B31">
        <v>1</v>
      </c>
    </row>
    <row r="32" spans="1:2">
      <c r="A32" t="s">
        <v>884</v>
      </c>
      <c r="B32">
        <v>1</v>
      </c>
    </row>
    <row r="33" spans="1:2">
      <c r="A33" t="s">
        <v>461</v>
      </c>
      <c r="B33">
        <v>1</v>
      </c>
    </row>
    <row r="34" spans="1:2">
      <c r="A34" t="s">
        <v>229</v>
      </c>
      <c r="B34">
        <v>1</v>
      </c>
    </row>
    <row r="35" spans="1:2">
      <c r="A35" t="s">
        <v>270</v>
      </c>
      <c r="B35">
        <v>1</v>
      </c>
    </row>
    <row r="36" spans="1:2">
      <c r="A36" t="s">
        <v>251</v>
      </c>
      <c r="B36">
        <v>1</v>
      </c>
    </row>
    <row r="37" spans="1:2">
      <c r="A37" t="s">
        <v>677</v>
      </c>
      <c r="B37">
        <v>1</v>
      </c>
    </row>
    <row r="38" spans="1:2">
      <c r="A38" t="s">
        <v>913</v>
      </c>
      <c r="B38">
        <v>1</v>
      </c>
    </row>
    <row r="39" spans="1:2">
      <c r="A39" t="s">
        <v>59</v>
      </c>
      <c r="B39">
        <v>1</v>
      </c>
    </row>
    <row r="40" spans="1:2">
      <c r="A40" t="s">
        <v>192</v>
      </c>
      <c r="B40">
        <v>1</v>
      </c>
    </row>
    <row r="41" spans="1:2">
      <c r="A41" t="s">
        <v>459</v>
      </c>
      <c r="B41">
        <v>1</v>
      </c>
    </row>
    <row r="42" spans="1:2">
      <c r="A42" t="s">
        <v>757</v>
      </c>
      <c r="B42">
        <v>1</v>
      </c>
    </row>
    <row r="43" spans="1:2">
      <c r="A43" t="s">
        <v>681</v>
      </c>
      <c r="B43">
        <v>1</v>
      </c>
    </row>
    <row r="44" spans="1:2">
      <c r="A44" t="s">
        <v>725</v>
      </c>
      <c r="B44">
        <v>1</v>
      </c>
    </row>
    <row r="45" spans="1:2">
      <c r="A45" t="s">
        <v>822</v>
      </c>
      <c r="B45">
        <v>1</v>
      </c>
    </row>
    <row r="46" spans="1:2">
      <c r="A46" t="s">
        <v>634</v>
      </c>
      <c r="B46">
        <v>1</v>
      </c>
    </row>
    <row r="47" spans="1:2">
      <c r="A47" t="s">
        <v>238</v>
      </c>
      <c r="B47">
        <v>1</v>
      </c>
    </row>
    <row r="48" spans="1:2">
      <c r="A48" t="s">
        <v>275</v>
      </c>
      <c r="B48">
        <v>1</v>
      </c>
    </row>
    <row r="49" spans="1:2">
      <c r="A49" t="s">
        <v>166</v>
      </c>
      <c r="B49">
        <v>1</v>
      </c>
    </row>
    <row r="50" spans="1:2">
      <c r="A50" t="s">
        <v>75</v>
      </c>
      <c r="B50">
        <v>1</v>
      </c>
    </row>
    <row r="51" spans="1:2">
      <c r="A51" t="s">
        <v>915</v>
      </c>
      <c r="B51">
        <v>1</v>
      </c>
    </row>
    <row r="52" spans="1:2">
      <c r="A52" t="s">
        <v>626</v>
      </c>
      <c r="B52">
        <v>1</v>
      </c>
    </row>
    <row r="53" spans="1:2">
      <c r="A53" t="s">
        <v>620</v>
      </c>
      <c r="B53">
        <v>1</v>
      </c>
    </row>
    <row r="54" spans="1:2">
      <c r="A54" t="s">
        <v>106</v>
      </c>
      <c r="B54">
        <v>1</v>
      </c>
    </row>
    <row r="55" spans="1:2">
      <c r="A55" t="s">
        <v>793</v>
      </c>
      <c r="B55">
        <v>1</v>
      </c>
    </row>
    <row r="56" spans="1:2">
      <c r="A56" t="s">
        <v>133</v>
      </c>
      <c r="B56">
        <v>1</v>
      </c>
    </row>
    <row r="57" spans="1:2">
      <c r="A57" t="s">
        <v>703</v>
      </c>
      <c r="B57">
        <v>1</v>
      </c>
    </row>
    <row r="58" spans="1:2">
      <c r="A58" t="s">
        <v>199</v>
      </c>
      <c r="B58">
        <v>1</v>
      </c>
    </row>
    <row r="59" spans="1:2">
      <c r="A59" t="s">
        <v>917</v>
      </c>
      <c r="B59">
        <v>1</v>
      </c>
    </row>
    <row r="60" spans="1:2">
      <c r="A60" t="s">
        <v>966</v>
      </c>
      <c r="B60">
        <v>1</v>
      </c>
    </row>
    <row r="61" spans="1:2">
      <c r="A61" t="s">
        <v>798</v>
      </c>
      <c r="B61">
        <v>1</v>
      </c>
    </row>
    <row r="62" spans="1:2">
      <c r="A62" t="s">
        <v>665</v>
      </c>
      <c r="B62">
        <v>1</v>
      </c>
    </row>
    <row r="63" spans="1:2">
      <c r="A63" t="s">
        <v>260</v>
      </c>
      <c r="B63">
        <v>1</v>
      </c>
    </row>
    <row r="64" spans="1:2">
      <c r="A64" t="s">
        <v>653</v>
      </c>
      <c r="B64">
        <v>1</v>
      </c>
    </row>
    <row r="65" spans="1:2">
      <c r="A65" t="s">
        <v>804</v>
      </c>
      <c r="B65">
        <v>1</v>
      </c>
    </row>
    <row r="66" spans="1:2">
      <c r="A66" t="s">
        <v>888</v>
      </c>
      <c r="B66">
        <v>1</v>
      </c>
    </row>
    <row r="67" spans="1:2">
      <c r="A67" t="s">
        <v>886</v>
      </c>
      <c r="B67">
        <v>1</v>
      </c>
    </row>
    <row r="68" spans="1:2">
      <c r="A68" t="s">
        <v>614</v>
      </c>
      <c r="B68">
        <v>1</v>
      </c>
    </row>
    <row r="69" spans="1:2">
      <c r="A69" t="s">
        <v>898</v>
      </c>
      <c r="B69">
        <v>1</v>
      </c>
    </row>
    <row r="70" spans="1:2">
      <c r="A70" t="s">
        <v>316</v>
      </c>
      <c r="B70">
        <v>1</v>
      </c>
    </row>
    <row r="71" spans="1:2">
      <c r="A71" t="s">
        <v>456</v>
      </c>
      <c r="B71">
        <v>1</v>
      </c>
    </row>
    <row r="72" spans="1:2">
      <c r="A72" t="s">
        <v>323</v>
      </c>
      <c r="B72">
        <v>1</v>
      </c>
    </row>
    <row r="73" spans="1:2">
      <c r="A73" t="s">
        <v>604</v>
      </c>
      <c r="B73">
        <v>1</v>
      </c>
    </row>
    <row r="74" spans="1:2">
      <c r="A74" t="s">
        <v>378</v>
      </c>
      <c r="B74">
        <v>1</v>
      </c>
    </row>
    <row r="75" spans="1:2">
      <c r="A75" t="s">
        <v>970</v>
      </c>
      <c r="B75">
        <v>1</v>
      </c>
    </row>
    <row r="76" spans="1:2">
      <c r="A76" t="s">
        <v>288</v>
      </c>
      <c r="B76">
        <v>1</v>
      </c>
    </row>
    <row r="77" spans="1:2">
      <c r="A77" t="s">
        <v>415</v>
      </c>
      <c r="B77">
        <v>1</v>
      </c>
    </row>
    <row r="78" spans="1:2">
      <c r="A78" t="s">
        <v>600</v>
      </c>
      <c r="B78">
        <v>1</v>
      </c>
    </row>
    <row r="79" spans="1:2">
      <c r="A79" t="s">
        <v>742</v>
      </c>
      <c r="B79">
        <v>1</v>
      </c>
    </row>
    <row r="80" spans="1:2">
      <c r="A80" t="s">
        <v>454</v>
      </c>
      <c r="B80">
        <v>1</v>
      </c>
    </row>
    <row r="81" spans="1:2">
      <c r="A81" t="s">
        <v>927</v>
      </c>
      <c r="B81">
        <v>1</v>
      </c>
    </row>
    <row r="82" spans="1:2">
      <c r="A82" t="s">
        <v>161</v>
      </c>
      <c r="B82">
        <v>1</v>
      </c>
    </row>
    <row r="83" spans="1:2">
      <c r="A83" t="s">
        <v>501</v>
      </c>
      <c r="B83">
        <v>1</v>
      </c>
    </row>
    <row r="84" spans="1:2">
      <c r="A84" t="s">
        <v>598</v>
      </c>
      <c r="B84">
        <v>1</v>
      </c>
    </row>
    <row r="85" spans="1:2">
      <c r="A85" t="s">
        <v>152</v>
      </c>
      <c r="B85">
        <v>1</v>
      </c>
    </row>
    <row r="86" spans="1:2">
      <c r="A86" t="s">
        <v>952</v>
      </c>
      <c r="B86">
        <v>1</v>
      </c>
    </row>
    <row r="87" spans="1:2">
      <c r="A87" t="s">
        <v>592</v>
      </c>
      <c r="B87">
        <v>1</v>
      </c>
    </row>
    <row r="88" spans="1:2">
      <c r="A88" t="s">
        <v>156</v>
      </c>
      <c r="B88">
        <v>1</v>
      </c>
    </row>
    <row r="89" spans="1:2">
      <c r="A89" t="s">
        <v>150</v>
      </c>
      <c r="B89">
        <v>1</v>
      </c>
    </row>
    <row r="90" spans="1:2">
      <c r="A90" t="s">
        <v>675</v>
      </c>
      <c r="B90">
        <v>1</v>
      </c>
    </row>
    <row r="91" spans="1:2">
      <c r="A91" t="s">
        <v>48</v>
      </c>
      <c r="B91">
        <v>1</v>
      </c>
    </row>
    <row r="92" spans="1:2">
      <c r="A92" t="s">
        <v>695</v>
      </c>
      <c r="B92">
        <v>1</v>
      </c>
    </row>
    <row r="93" spans="1:2">
      <c r="A93" t="s">
        <v>93</v>
      </c>
      <c r="B93">
        <v>1</v>
      </c>
    </row>
    <row r="94" spans="1:2">
      <c r="A94" t="s">
        <v>586</v>
      </c>
      <c r="B94">
        <v>1</v>
      </c>
    </row>
    <row r="95" spans="1:2">
      <c r="A95" t="s">
        <v>673</v>
      </c>
      <c r="B95">
        <v>1</v>
      </c>
    </row>
    <row r="96" spans="1:2">
      <c r="A96" t="s">
        <v>181</v>
      </c>
      <c r="B96">
        <v>1</v>
      </c>
    </row>
    <row r="97" spans="1:2">
      <c r="A97" t="s">
        <v>921</v>
      </c>
      <c r="B97">
        <v>1</v>
      </c>
    </row>
    <row r="98" spans="1:2">
      <c r="A98" t="s">
        <v>451</v>
      </c>
      <c r="B98">
        <v>1</v>
      </c>
    </row>
    <row r="99" spans="1:2">
      <c r="A99" t="s">
        <v>449</v>
      </c>
      <c r="B99">
        <v>1</v>
      </c>
    </row>
    <row r="100" spans="1:2">
      <c r="A100" t="s">
        <v>112</v>
      </c>
      <c r="B100">
        <v>1</v>
      </c>
    </row>
    <row r="101" spans="1:2">
      <c r="A101" t="s">
        <v>935</v>
      </c>
      <c r="B101">
        <v>1</v>
      </c>
    </row>
    <row r="102" spans="1:2">
      <c r="A102" t="s">
        <v>907</v>
      </c>
      <c r="B102">
        <v>1</v>
      </c>
    </row>
    <row r="103" spans="1:2">
      <c r="A103" t="s">
        <v>580</v>
      </c>
      <c r="B103">
        <v>1</v>
      </c>
    </row>
    <row r="104" spans="1:2">
      <c r="A104" t="s">
        <v>811</v>
      </c>
      <c r="B104">
        <v>1</v>
      </c>
    </row>
    <row r="105" spans="1:2">
      <c r="A105" t="s">
        <v>368</v>
      </c>
      <c r="B105">
        <v>1</v>
      </c>
    </row>
    <row r="106" spans="1:2">
      <c r="A106" t="s">
        <v>900</v>
      </c>
      <c r="B106">
        <v>1</v>
      </c>
    </row>
    <row r="107" spans="1:2">
      <c r="A107" t="s">
        <v>447</v>
      </c>
      <c r="B107">
        <v>1</v>
      </c>
    </row>
    <row r="108" spans="1:2">
      <c r="A108" t="s">
        <v>819</v>
      </c>
      <c r="B108">
        <v>1</v>
      </c>
    </row>
    <row r="109" spans="1:2">
      <c r="A109" t="s">
        <v>786</v>
      </c>
      <c r="B109">
        <v>1</v>
      </c>
    </row>
    <row r="110" spans="1:2">
      <c r="A110" t="s">
        <v>500</v>
      </c>
      <c r="B110">
        <v>1</v>
      </c>
    </row>
    <row r="111" spans="1:2">
      <c r="A111" t="s">
        <v>445</v>
      </c>
      <c r="B111">
        <v>1</v>
      </c>
    </row>
    <row r="112" spans="1:2">
      <c r="A112" t="s">
        <v>904</v>
      </c>
      <c r="B112">
        <v>1</v>
      </c>
    </row>
    <row r="113" spans="1:2">
      <c r="A113" t="s">
        <v>443</v>
      </c>
      <c r="B113">
        <v>1</v>
      </c>
    </row>
    <row r="114" spans="1:2">
      <c r="A114" t="s">
        <v>175</v>
      </c>
      <c r="B114">
        <v>1</v>
      </c>
    </row>
    <row r="115" spans="1:2">
      <c r="A115" t="s">
        <v>265</v>
      </c>
      <c r="B115">
        <v>1</v>
      </c>
    </row>
    <row r="116" spans="1:2">
      <c r="A116" t="s">
        <v>813</v>
      </c>
      <c r="B116">
        <v>1</v>
      </c>
    </row>
    <row r="117" spans="1:2">
      <c r="A117" t="s">
        <v>159</v>
      </c>
      <c r="B117">
        <v>1</v>
      </c>
    </row>
    <row r="118" spans="1:2">
      <c r="A118" t="s">
        <v>648</v>
      </c>
      <c r="B118">
        <v>1</v>
      </c>
    </row>
    <row r="119" spans="1:2">
      <c r="A119" t="s">
        <v>938</v>
      </c>
      <c r="B119">
        <v>1</v>
      </c>
    </row>
    <row r="120" spans="1:2">
      <c r="A120" t="s">
        <v>876</v>
      </c>
      <c r="B120">
        <v>1</v>
      </c>
    </row>
    <row r="121" spans="1:2">
      <c r="A121" t="s">
        <v>67</v>
      </c>
      <c r="B121">
        <v>1</v>
      </c>
    </row>
    <row r="122" spans="1:2">
      <c r="A122" t="s">
        <v>441</v>
      </c>
      <c r="B122">
        <v>1</v>
      </c>
    </row>
    <row r="123" spans="1:2">
      <c r="A123" t="s">
        <v>439</v>
      </c>
      <c r="B123">
        <v>1</v>
      </c>
    </row>
    <row r="124" spans="1:2">
      <c r="A124" t="s">
        <v>572</v>
      </c>
      <c r="B124">
        <v>1</v>
      </c>
    </row>
    <row r="125" spans="1:2">
      <c r="A125" t="s">
        <v>164</v>
      </c>
      <c r="B125">
        <v>1</v>
      </c>
    </row>
    <row r="126" spans="1:2">
      <c r="A126" t="s">
        <v>437</v>
      </c>
      <c r="B126">
        <v>1</v>
      </c>
    </row>
    <row r="127" spans="1:2">
      <c r="A127" t="s">
        <v>116</v>
      </c>
      <c r="B127">
        <v>1</v>
      </c>
    </row>
    <row r="128" spans="1:2">
      <c r="A128" t="s">
        <v>719</v>
      </c>
      <c r="B128">
        <v>1</v>
      </c>
    </row>
    <row r="129" spans="1:2">
      <c r="A129" t="s">
        <v>435</v>
      </c>
      <c r="B129">
        <v>1</v>
      </c>
    </row>
    <row r="130" spans="1:2">
      <c r="A130" t="s">
        <v>154</v>
      </c>
      <c r="B130">
        <v>1</v>
      </c>
    </row>
    <row r="131" spans="1:2">
      <c r="A131" t="s">
        <v>498</v>
      </c>
      <c r="B131">
        <v>1</v>
      </c>
    </row>
    <row r="132" spans="1:2">
      <c r="A132" t="s">
        <v>817</v>
      </c>
      <c r="B132">
        <v>1</v>
      </c>
    </row>
    <row r="133" spans="1:2">
      <c r="A133" t="s">
        <v>831</v>
      </c>
      <c r="B133">
        <v>1</v>
      </c>
    </row>
    <row r="134" spans="1:2">
      <c r="A134" t="s">
        <v>858</v>
      </c>
      <c r="B134">
        <v>1</v>
      </c>
    </row>
    <row r="135" spans="1:2">
      <c r="A135" t="s">
        <v>433</v>
      </c>
      <c r="B135">
        <v>1</v>
      </c>
    </row>
    <row r="136" spans="1:2">
      <c r="A136" t="s">
        <v>669</v>
      </c>
      <c r="B136">
        <v>1</v>
      </c>
    </row>
    <row r="137" spans="1:2">
      <c r="A137" t="s">
        <v>780</v>
      </c>
      <c r="B137">
        <v>1</v>
      </c>
    </row>
    <row r="138" spans="1:2">
      <c r="A138" t="s">
        <v>567</v>
      </c>
      <c r="B138">
        <v>1</v>
      </c>
    </row>
    <row r="139" spans="1:2">
      <c r="A139" t="s">
        <v>564</v>
      </c>
      <c r="B139">
        <v>1</v>
      </c>
    </row>
    <row r="140" spans="1:2">
      <c r="A140" t="s">
        <v>709</v>
      </c>
      <c r="B140">
        <v>1</v>
      </c>
    </row>
    <row r="141" spans="1:2">
      <c r="A141" t="s">
        <v>701</v>
      </c>
      <c r="B141">
        <v>1</v>
      </c>
    </row>
    <row r="142" spans="1:2">
      <c r="A142" t="s">
        <v>856</v>
      </c>
      <c r="B142">
        <v>1</v>
      </c>
    </row>
    <row r="143" spans="1:2">
      <c r="A143" t="s">
        <v>82</v>
      </c>
      <c r="B143">
        <v>1</v>
      </c>
    </row>
    <row r="144" spans="1:2">
      <c r="A144" t="s">
        <v>826</v>
      </c>
      <c r="B144">
        <v>1</v>
      </c>
    </row>
    <row r="145" spans="1:2">
      <c r="A145" t="s">
        <v>691</v>
      </c>
      <c r="B145">
        <v>1</v>
      </c>
    </row>
    <row r="146" spans="1:2">
      <c r="A146" t="s">
        <v>667</v>
      </c>
      <c r="B146">
        <v>1</v>
      </c>
    </row>
    <row r="147" spans="1:2">
      <c r="A147" t="s">
        <v>645</v>
      </c>
      <c r="B147">
        <v>1</v>
      </c>
    </row>
    <row r="148" spans="1:2">
      <c r="A148" t="s">
        <v>242</v>
      </c>
      <c r="B148">
        <v>1</v>
      </c>
    </row>
    <row r="149" spans="1:2">
      <c r="A149" t="s">
        <v>31</v>
      </c>
      <c r="B149">
        <v>1</v>
      </c>
    </row>
    <row r="150" spans="1:2">
      <c r="A150" t="s">
        <v>687</v>
      </c>
      <c r="B150">
        <v>1</v>
      </c>
    </row>
    <row r="151" spans="1:2">
      <c r="A151" t="s">
        <v>306</v>
      </c>
      <c r="B151">
        <v>1</v>
      </c>
    </row>
    <row r="152" spans="1:2">
      <c r="A152" t="s">
        <v>560</v>
      </c>
      <c r="B152">
        <v>1</v>
      </c>
    </row>
    <row r="153" spans="1:2">
      <c r="A153" t="s">
        <v>310</v>
      </c>
      <c r="B153">
        <v>1</v>
      </c>
    </row>
    <row r="154" spans="1:2">
      <c r="A154" t="s">
        <v>962</v>
      </c>
      <c r="B154">
        <v>1</v>
      </c>
    </row>
    <row r="155" spans="1:2">
      <c r="A155" t="s">
        <v>170</v>
      </c>
      <c r="B155">
        <v>1</v>
      </c>
    </row>
    <row r="156" spans="1:2">
      <c r="A156" t="s">
        <v>733</v>
      </c>
      <c r="B156">
        <v>1</v>
      </c>
    </row>
    <row r="157" spans="1:2">
      <c r="A157" t="s">
        <v>333</v>
      </c>
      <c r="B157">
        <v>1</v>
      </c>
    </row>
    <row r="158" spans="1:2">
      <c r="A158" t="s">
        <v>841</v>
      </c>
      <c r="B158">
        <v>1</v>
      </c>
    </row>
    <row r="159" spans="1:2">
      <c r="A159" t="s">
        <v>337</v>
      </c>
      <c r="B159">
        <v>1</v>
      </c>
    </row>
    <row r="160" spans="1:2">
      <c r="A160" t="s">
        <v>196</v>
      </c>
      <c r="B160">
        <v>1</v>
      </c>
    </row>
    <row r="161" spans="1:2">
      <c r="A161" t="s">
        <v>429</v>
      </c>
      <c r="B161">
        <v>1</v>
      </c>
    </row>
    <row r="162" spans="1:2">
      <c r="A162" t="s">
        <v>28</v>
      </c>
      <c r="B162">
        <v>1</v>
      </c>
    </row>
    <row r="163" spans="1:2">
      <c r="A163" t="s">
        <v>142</v>
      </c>
      <c r="B163">
        <v>1</v>
      </c>
    </row>
    <row r="164" spans="1:2">
      <c r="A164" t="s">
        <v>558</v>
      </c>
      <c r="B164">
        <v>1</v>
      </c>
    </row>
    <row r="165" spans="1:2">
      <c r="A165" t="s">
        <v>910</v>
      </c>
      <c r="B165">
        <v>1</v>
      </c>
    </row>
    <row r="166" spans="1:2">
      <c r="A166" t="s">
        <v>210</v>
      </c>
      <c r="B166">
        <v>1</v>
      </c>
    </row>
    <row r="167" spans="1:2">
      <c r="A167" t="s">
        <v>556</v>
      </c>
      <c r="B167">
        <v>1</v>
      </c>
    </row>
    <row r="168" spans="1:2">
      <c r="A168" t="s">
        <v>791</v>
      </c>
      <c r="B168">
        <v>1</v>
      </c>
    </row>
    <row r="169" spans="1:2">
      <c r="A169" t="s">
        <v>768</v>
      </c>
      <c r="B169">
        <v>1</v>
      </c>
    </row>
    <row r="170" spans="1:2">
      <c r="A170" t="s">
        <v>890</v>
      </c>
      <c r="B170">
        <v>1</v>
      </c>
    </row>
    <row r="171" spans="1:2">
      <c r="A171" t="s">
        <v>184</v>
      </c>
      <c r="B171">
        <v>1</v>
      </c>
    </row>
    <row r="172" spans="1:2">
      <c r="A172" t="s">
        <v>356</v>
      </c>
      <c r="B172">
        <v>1</v>
      </c>
    </row>
    <row r="173" spans="1:2">
      <c r="A173" t="s">
        <v>221</v>
      </c>
      <c r="B173">
        <v>1</v>
      </c>
    </row>
    <row r="174" spans="1:2">
      <c r="A174" t="s">
        <v>542</v>
      </c>
      <c r="B174">
        <v>1</v>
      </c>
    </row>
    <row r="175" spans="1:2">
      <c r="A175" t="s">
        <v>941</v>
      </c>
      <c r="B175">
        <v>1</v>
      </c>
    </row>
    <row r="176" spans="1:2">
      <c r="A176" t="s">
        <v>536</v>
      </c>
      <c r="B176">
        <v>1</v>
      </c>
    </row>
    <row r="177" spans="1:2">
      <c r="A177" t="s">
        <v>957</v>
      </c>
      <c r="B177">
        <v>1</v>
      </c>
    </row>
    <row r="178" spans="1:2">
      <c r="A178" t="s">
        <v>427</v>
      </c>
      <c r="B178">
        <v>1</v>
      </c>
    </row>
    <row r="179" spans="1:2">
      <c r="A179" t="s">
        <v>530</v>
      </c>
      <c r="B179">
        <v>1</v>
      </c>
    </row>
    <row r="180" spans="1:2">
      <c r="A180" t="s">
        <v>528</v>
      </c>
      <c r="B180">
        <v>1</v>
      </c>
    </row>
    <row r="181" spans="1:2">
      <c r="A181" t="s">
        <v>425</v>
      </c>
      <c r="B181">
        <v>1</v>
      </c>
    </row>
    <row r="182" spans="1:2">
      <c r="A182" t="s">
        <v>525</v>
      </c>
      <c r="B182">
        <v>1</v>
      </c>
    </row>
    <row r="183" spans="1:2">
      <c r="A183" t="s">
        <v>895</v>
      </c>
      <c r="B183">
        <v>1</v>
      </c>
    </row>
    <row r="184" spans="1:2">
      <c r="A184" t="s">
        <v>203</v>
      </c>
      <c r="B184">
        <v>1</v>
      </c>
    </row>
    <row r="185" spans="1:2">
      <c r="A185" t="s">
        <v>353</v>
      </c>
      <c r="B185">
        <v>1</v>
      </c>
    </row>
    <row r="186" spans="1:2">
      <c r="A186" t="s">
        <v>848</v>
      </c>
      <c r="B186">
        <v>1</v>
      </c>
    </row>
    <row r="187" spans="1:2">
      <c r="A187" t="s">
        <v>178</v>
      </c>
      <c r="B187">
        <v>1</v>
      </c>
    </row>
    <row r="188" spans="1:2">
      <c r="A188" t="s">
        <v>234</v>
      </c>
      <c r="B188">
        <v>1</v>
      </c>
    </row>
    <row r="189" spans="1:2">
      <c r="A189" t="s">
        <v>736</v>
      </c>
      <c r="B189">
        <v>1</v>
      </c>
    </row>
    <row r="190" spans="1:2">
      <c r="A190" t="s">
        <v>61</v>
      </c>
      <c r="B190">
        <v>1</v>
      </c>
    </row>
    <row r="191" spans="1:2">
      <c r="A191" t="s">
        <v>295</v>
      </c>
      <c r="B191">
        <v>1</v>
      </c>
    </row>
    <row r="192" spans="1:2">
      <c r="A192" t="s">
        <v>375</v>
      </c>
      <c r="B192">
        <v>1</v>
      </c>
    </row>
    <row r="193" spans="1:2">
      <c r="A193" t="s">
        <v>412</v>
      </c>
      <c r="B193">
        <v>1</v>
      </c>
    </row>
    <row r="194" spans="1:2">
      <c r="A194" t="s">
        <v>398</v>
      </c>
      <c r="B194">
        <v>1</v>
      </c>
    </row>
    <row r="195" spans="1:2">
      <c r="A195" t="s">
        <v>402</v>
      </c>
      <c r="B195">
        <v>1</v>
      </c>
    </row>
    <row r="196" spans="1:2">
      <c r="A196" t="s">
        <v>395</v>
      </c>
      <c r="B196">
        <v>1</v>
      </c>
    </row>
    <row r="197" spans="1:2">
      <c r="A197" t="s">
        <v>284</v>
      </c>
      <c r="B197">
        <v>1</v>
      </c>
    </row>
    <row r="198" spans="1:2">
      <c r="A198" t="s">
        <v>290</v>
      </c>
      <c r="B198">
        <v>1</v>
      </c>
    </row>
    <row r="199" spans="1:2">
      <c r="A199" t="s">
        <v>382</v>
      </c>
      <c r="B199">
        <v>1</v>
      </c>
    </row>
    <row r="200" spans="1:2">
      <c r="A200" t="s">
        <v>392</v>
      </c>
      <c r="B200">
        <v>1</v>
      </c>
    </row>
    <row r="201" spans="1:2">
      <c r="A201" t="s">
        <v>286</v>
      </c>
      <c r="B201">
        <v>1</v>
      </c>
    </row>
    <row r="202" spans="1:2">
      <c r="A202" t="s">
        <v>281</v>
      </c>
      <c r="B202">
        <v>1</v>
      </c>
    </row>
    <row r="203" spans="1:2">
      <c r="A203" t="s">
        <v>385</v>
      </c>
      <c r="B203">
        <v>1</v>
      </c>
    </row>
    <row r="204" spans="1:2">
      <c r="A204" t="s">
        <v>292</v>
      </c>
      <c r="B204">
        <v>1</v>
      </c>
    </row>
    <row r="205" spans="1:2">
      <c r="A205" t="s">
        <v>408</v>
      </c>
      <c r="B205">
        <v>1</v>
      </c>
    </row>
    <row r="206" spans="1:2">
      <c r="A206" t="s">
        <v>388</v>
      </c>
      <c r="B206">
        <v>1</v>
      </c>
    </row>
    <row r="207" spans="1:2">
      <c r="A207" t="s">
        <v>488</v>
      </c>
      <c r="B207">
        <v>1</v>
      </c>
    </row>
    <row r="208" spans="1:2">
      <c r="A208" t="s">
        <v>919</v>
      </c>
      <c r="B208">
        <v>1</v>
      </c>
    </row>
    <row r="209" spans="1:2">
      <c r="A209" t="s">
        <v>114</v>
      </c>
      <c r="B209">
        <v>1</v>
      </c>
    </row>
    <row r="210" spans="1:2">
      <c r="A210" t="s">
        <v>256</v>
      </c>
      <c r="B210">
        <v>1</v>
      </c>
    </row>
    <row r="211" spans="1:2">
      <c r="A211" t="s">
        <v>711</v>
      </c>
      <c r="B211">
        <v>1</v>
      </c>
    </row>
    <row r="212" spans="1:2">
      <c r="A212" t="s">
        <v>423</v>
      </c>
      <c r="B212">
        <v>1</v>
      </c>
    </row>
    <row r="213" spans="1:2">
      <c r="A213" t="s">
        <v>809</v>
      </c>
      <c r="B213">
        <v>1</v>
      </c>
    </row>
    <row r="214" spans="1:2">
      <c r="A214" t="s">
        <v>297</v>
      </c>
      <c r="B214">
        <v>1</v>
      </c>
    </row>
    <row r="215" spans="1:2">
      <c r="A215" t="s">
        <v>162</v>
      </c>
      <c r="B215">
        <v>1</v>
      </c>
    </row>
    <row r="216" spans="1:2">
      <c r="A216" t="s">
        <v>671</v>
      </c>
      <c r="B216">
        <v>1</v>
      </c>
    </row>
    <row r="217" spans="1:2">
      <c r="A217" t="s">
        <v>896</v>
      </c>
      <c r="B217">
        <v>1</v>
      </c>
    </row>
    <row r="218" spans="1:2">
      <c r="A218" t="s">
        <v>748</v>
      </c>
      <c r="B218">
        <v>1</v>
      </c>
    </row>
    <row r="219" spans="1:2">
      <c r="A219" t="s">
        <v>359</v>
      </c>
      <c r="B219">
        <v>1</v>
      </c>
    </row>
    <row r="220" spans="1:2">
      <c r="A220" t="s">
        <v>833</v>
      </c>
      <c r="B220">
        <v>1</v>
      </c>
    </row>
    <row r="221" spans="1:2">
      <c r="A221" t="s">
        <v>950</v>
      </c>
      <c r="B221">
        <v>1</v>
      </c>
    </row>
    <row r="222" spans="1:2">
      <c r="A222" t="s">
        <v>955</v>
      </c>
      <c r="B222">
        <v>1</v>
      </c>
    </row>
    <row r="223" spans="1:2">
      <c r="A223" t="s">
        <v>421</v>
      </c>
      <c r="B223">
        <v>1</v>
      </c>
    </row>
    <row r="224" spans="1:2">
      <c r="A224" t="s">
        <v>835</v>
      </c>
      <c r="B224">
        <v>1</v>
      </c>
    </row>
    <row r="225" spans="1:2">
      <c r="A225" t="s">
        <v>24</v>
      </c>
      <c r="B225">
        <v>1</v>
      </c>
    </row>
    <row r="226" spans="1:2">
      <c r="A226" t="s">
        <v>214</v>
      </c>
      <c r="B226">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Company>丰县供电公司</Company>
  <Application>WPS 表格</Application>
  <HeadingPairs>
    <vt:vector size="2" baseType="variant">
      <vt:variant>
        <vt:lpstr>工作表</vt:lpstr>
      </vt:variant>
      <vt:variant>
        <vt:i4>3</vt:i4>
      </vt:variant>
    </vt:vector>
  </HeadingPairs>
  <TitlesOfParts>
    <vt:vector size="3" baseType="lpstr">
      <vt:lpstr>负荷高峰期间变电站全停全转 </vt:lpstr>
      <vt:lpstr>导出计数_变电站_1</vt:lpstr>
      <vt:lpstr>导出计数_变电站</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蔡可天</dc:creator>
  <cp:lastModifiedBy>白日梦想家</cp:lastModifiedBy>
  <dcterms:created xsi:type="dcterms:W3CDTF">2025-04-29T12:11:00Z</dcterms:created>
  <dcterms:modified xsi:type="dcterms:W3CDTF">2026-10-12T09:02:37Z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2052-12.1.0.15712</vt:lpwstr>
  </property>
  <property fmtid="{D5CDD505-2E9C-101B-9397-08002B2CF9AE}" pid="3" name="ICV">
    <vt:lpwstr>B00B54ACDA39485EB0D91AEB83FBD888_13</vt:lpwstr>
  </property>
</Properties>
</file>