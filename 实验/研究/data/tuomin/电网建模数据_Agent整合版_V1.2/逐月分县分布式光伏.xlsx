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8" windowHeight="10206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<sst xmlns="http://schemas.openxmlformats.org/spreadsheetml/2006/main" count="106" uniqueCount="41">
  <si>
    <t>2023年</t>
  </si>
  <si>
    <t>区县代号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</si>
  <si>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</si>
  <si>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</si>
  <si>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</si>
  <si>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</si>
  <si>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</si>
  <si>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</si>
  <si>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</si>
  <si>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</si>
  <si>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</si>
  <si>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</si>
  <si>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</si>
  <si>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</si>
  <si>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all</t>
  </si>
  <si>
    <t>QX-00007</t>
  </si>
  <si>
    <t>QX-00003</t>
  </si>
  <si>
    <t>QX-00005</t>
  </si>
  <si>
    <t>QX-00010</t>
  </si>
  <si>
    <t>QX-00009</t>
  </si>
  <si>
    <t>QX-00001</t>
  </si>
  <si>
    <t>QX-00004</t>
  </si>
  <si>
    <t>QX-00008</t>
  </si>
  <si>
    <t>2024年</t>
  </si>
  <si>
    <t>2025年</t>
  </si>
  <si>
    <t>上半年增量</t>
  </si>
  <si>
    <t>下半年增量</t>
  </si>
  <si>
    <t>25年增量</t>
  </si>
  <si>
    <t>鼓楼区</t>
  </si>
  <si>
    <t>云龙区</t>
  </si>
  <si>
    <t>泉山区</t>
  </si>
  <si>
    <t>贾汪区</t>
  </si>
  <si>
    <t>地区</t>
  </si>
  <si>
    <t>最大年增量</t>
  </si>
  <si>
    <t>邳州市</t>
  </si>
  <si>
    <t>新沂市</t>
  </si>
  <si>
    <t>铜山区</t>
  </si>
  <si>
    <t>丰县</t>
  </si>
  <si>
    <t>沛县</t>
  </si>
  <si>
    <t>睢宁县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</si>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</sst>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3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FF0000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1" fillId="0" borderId="2" xfId="0" applyNumberFormat="1" applyFont="1" applyFill="1" applyBorder="1" applyAlignment="1">
      <alignment horizontal="center"/>
    </xf>
    <xf numFmtId="176" fontId="0" fillId="0" borderId="0" xfId="0" applyNumberFormat="1">
      <alignment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right" vertical="center"/>
    </xf>
    <xf numFmtId="177" fontId="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"/>
  <sheetViews>
    <sheetView tabSelected="1" zoomScale="85" zoomScaleNormal="85" topLeftCell="A19" workbookViewId="0">
      <selection activeCell="I33" sqref="I33"/>
    </sheetView>
  </sheetViews>
  <sheetFormatPr defaultColWidth="9" defaultRowHeight="14.4"/>
  <cols>
    <col min="1" max="5" width="14.7543859649123" customWidth="1"/>
    <col min="6" max="6" width="13.3508771929825" customWidth="1"/>
    <col min="7" max="7" width="13.8684210526316" customWidth="1"/>
    <col min="8" max="13" width="12.0263157894737" customWidth="1"/>
    <col min="14" max="15" width="9.52631578947368"/>
    <col min="16" max="19" width="9.36842105263158"/>
    <col min="20" max="20" width="12.7982456140351"/>
    <col min="21" max="21" width="9.52631578947368"/>
    <col min="22" max="24" width="9.36842105263158"/>
    <col min="25" max="25" width="12.4385964912281" customWidth="1"/>
    <col min="26" max="27" width="11.5"/>
  </cols>
  <sheetData>
    <row r="1" ht="13.5" customHeight="1" spans="1:1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5">
      <c r="A3" s="3" t="s">
        <v>14</v>
      </c>
      <c r="B3" s="3">
        <v>131.5977</v>
      </c>
      <c r="C3" s="3">
        <v>137.6647</v>
      </c>
      <c r="D3" s="3">
        <v>149.8695</v>
      </c>
      <c r="E3" s="3">
        <v>160.3448</v>
      </c>
      <c r="F3" s="3">
        <v>172.2479</v>
      </c>
      <c r="G3" s="3">
        <v>183.5617</v>
      </c>
      <c r="H3" s="3">
        <v>196.5507</v>
      </c>
      <c r="I3" s="3">
        <v>210.8056</v>
      </c>
      <c r="J3" s="3">
        <v>223.6617</v>
      </c>
      <c r="K3" s="3">
        <v>236.8741</v>
      </c>
      <c r="L3" s="3">
        <v>255.5836</v>
      </c>
      <c r="M3" s="3">
        <f>SUM(M4:M11)</f>
        <v>276.5323</v>
      </c>
      <c r="N3">
        <f>M3-B3</f>
        <v>144.9346</v>
      </c>
    </row>
    <row r="4" spans="1:15">
      <c r="A4" s="3" t="s">
        <v>15</v>
      </c>
      <c r="B4" s="3">
        <v>18.1563</v>
      </c>
      <c r="C4" s="3">
        <v>18.9556</v>
      </c>
      <c r="D4" s="3">
        <v>19.501</v>
      </c>
      <c r="E4" s="3">
        <v>20.1988</v>
      </c>
      <c r="F4" s="3">
        <v>20.5638</v>
      </c>
      <c r="G4" s="3">
        <v>21.0776</v>
      </c>
      <c r="H4" s="3">
        <v>21.8445</v>
      </c>
      <c r="I4" s="3">
        <v>22.5972</v>
      </c>
      <c r="J4" s="3">
        <v>22.9851</v>
      </c>
      <c r="K4" s="3">
        <v>23.4247</v>
      </c>
      <c r="L4" s="3">
        <v>24.1571</v>
      </c>
      <c r="M4" s="3">
        <v>25.3679</v>
      </c>
      <c r="N4">
        <f t="shared" ref="N4:N11" si="0">M4-B4</f>
        <v>7.2116</v>
      </c>
      <c r="O4">
        <f>SUM(B4:M4)</f>
        <v>258.8296</v>
      </c>
    </row>
    <row r="5" spans="1:15">
      <c r="A5" s="3" t="s">
        <v>16</v>
      </c>
      <c r="B5" s="3">
        <v>9.8959</v>
      </c>
      <c r="C5" s="3">
        <v>10.2755</v>
      </c>
      <c r="D5" s="3">
        <v>10.8368</v>
      </c>
      <c r="E5" s="3">
        <v>11.3848</v>
      </c>
      <c r="F5" s="3">
        <v>12.0341</v>
      </c>
      <c r="G5" s="3">
        <v>12.6871</v>
      </c>
      <c r="H5" s="3">
        <v>13.2162</v>
      </c>
      <c r="I5" s="3">
        <v>13.8182</v>
      </c>
      <c r="J5" s="3">
        <v>14.2967</v>
      </c>
      <c r="K5" s="3">
        <v>15.0389</v>
      </c>
      <c r="L5" s="3">
        <v>15.9413</v>
      </c>
      <c r="M5" s="3">
        <v>17.4436</v>
      </c>
      <c r="N5">
        <f t="shared" si="0"/>
        <v>7.5477</v>
      </c>
      <c r="O5">
        <f t="shared" ref="O5:O11" si="1">SUM(B5:M5)</f>
        <v>156.8691</v>
      </c>
    </row>
    <row r="6" spans="1:15">
      <c r="A6" s="3" t="s">
        <v>17</v>
      </c>
      <c r="B6" s="3">
        <v>23.8574</v>
      </c>
      <c r="C6" s="3">
        <v>25.6938</v>
      </c>
      <c r="D6" s="3">
        <v>27.6556</v>
      </c>
      <c r="E6" s="3">
        <v>29.9866</v>
      </c>
      <c r="F6" s="3">
        <v>32.3639</v>
      </c>
      <c r="G6" s="3">
        <v>35.9166</v>
      </c>
      <c r="H6" s="3">
        <v>38.4176</v>
      </c>
      <c r="I6" s="3">
        <v>41.7217</v>
      </c>
      <c r="J6" s="3">
        <v>45.1906</v>
      </c>
      <c r="K6" s="3">
        <v>48.4563</v>
      </c>
      <c r="L6" s="3">
        <v>52.8455</v>
      </c>
      <c r="M6" s="3">
        <v>56.4702</v>
      </c>
      <c r="N6">
        <f t="shared" si="0"/>
        <v>32.6128</v>
      </c>
      <c r="O6">
        <f t="shared" si="1"/>
        <v>458.5758</v>
      </c>
    </row>
    <row r="7" spans="1:15">
      <c r="A7" s="3" t="s">
        <v>18</v>
      </c>
      <c r="B7" s="3">
        <v>27.3921</v>
      </c>
      <c r="C7" s="3">
        <v>28.6613</v>
      </c>
      <c r="D7" s="3">
        <v>31.0058</v>
      </c>
      <c r="E7" s="3">
        <v>33.591</v>
      </c>
      <c r="F7" s="3">
        <v>36.1707</v>
      </c>
      <c r="G7" s="3">
        <v>38.1145</v>
      </c>
      <c r="H7" s="3">
        <v>40.3283</v>
      </c>
      <c r="I7" s="3">
        <v>43.4543</v>
      </c>
      <c r="J7" s="3">
        <v>46.1646</v>
      </c>
      <c r="K7" s="3">
        <v>48.4708</v>
      </c>
      <c r="L7" s="3">
        <v>51.1089</v>
      </c>
      <c r="M7" s="3">
        <v>54.3152</v>
      </c>
      <c r="N7">
        <f t="shared" si="0"/>
        <v>26.9231</v>
      </c>
      <c r="O7">
        <f t="shared" si="1"/>
        <v>478.7775</v>
      </c>
    </row>
    <row r="8" spans="1:15">
      <c r="A8" s="3" t="s">
        <v>19</v>
      </c>
      <c r="B8" s="3">
        <v>13.6282</v>
      </c>
      <c r="C8" s="3">
        <v>13.6282</v>
      </c>
      <c r="D8" s="3">
        <v>15.5775</v>
      </c>
      <c r="E8" s="3">
        <v>16.837</v>
      </c>
      <c r="F8" s="3">
        <v>18.3469</v>
      </c>
      <c r="G8" s="3">
        <v>19.8305</v>
      </c>
      <c r="H8" s="3">
        <v>21.4235</v>
      </c>
      <c r="I8" s="3">
        <v>22.9918</v>
      </c>
      <c r="J8" s="3">
        <v>25.0177</v>
      </c>
      <c r="K8" s="3">
        <v>28.5333</v>
      </c>
      <c r="L8" s="3">
        <v>32.4553</v>
      </c>
      <c r="M8" s="3">
        <v>36.0096</v>
      </c>
      <c r="N8">
        <f t="shared" si="0"/>
        <v>22.3814</v>
      </c>
      <c r="O8">
        <f t="shared" si="1"/>
        <v>264.2795</v>
      </c>
    </row>
    <row r="9" spans="1:15">
      <c r="A9" s="3" t="s">
        <v>20</v>
      </c>
      <c r="B9" s="3">
        <v>11.374</v>
      </c>
      <c r="C9" s="3">
        <v>12.0646</v>
      </c>
      <c r="D9" s="3">
        <v>13.7362</v>
      </c>
      <c r="E9" s="3">
        <v>14.8041</v>
      </c>
      <c r="F9" s="3">
        <v>16.7234</v>
      </c>
      <c r="G9" s="3">
        <v>18.043</v>
      </c>
      <c r="H9" s="3">
        <v>21.0762</v>
      </c>
      <c r="I9" s="3">
        <v>23.3317</v>
      </c>
      <c r="J9" s="3">
        <v>25.4143</v>
      </c>
      <c r="K9" s="3">
        <v>26.928</v>
      </c>
      <c r="L9" s="3">
        <v>30.5146</v>
      </c>
      <c r="M9" s="3">
        <v>34.235</v>
      </c>
      <c r="N9">
        <f t="shared" si="0"/>
        <v>22.861</v>
      </c>
      <c r="O9">
        <f t="shared" si="1"/>
        <v>248.2451</v>
      </c>
    </row>
    <row r="10" spans="1:15">
      <c r="A10" s="3" t="s">
        <v>21</v>
      </c>
      <c r="B10" s="3">
        <v>16.2307</v>
      </c>
      <c r="C10" s="3">
        <v>16.6706</v>
      </c>
      <c r="D10" s="3">
        <v>18.7768</v>
      </c>
      <c r="E10" s="3">
        <v>19.981</v>
      </c>
      <c r="F10" s="3">
        <v>21.1077</v>
      </c>
      <c r="G10" s="3">
        <v>22.1156</v>
      </c>
      <c r="H10" s="3">
        <v>23.5785</v>
      </c>
      <c r="I10" s="3">
        <v>25.0787</v>
      </c>
      <c r="J10" s="3">
        <v>26.4869</v>
      </c>
      <c r="K10" s="3">
        <v>27.8137</v>
      </c>
      <c r="L10" s="3">
        <v>30.2855</v>
      </c>
      <c r="M10" s="3">
        <v>33.2075</v>
      </c>
      <c r="N10">
        <f t="shared" si="0"/>
        <v>16.9768</v>
      </c>
      <c r="O10">
        <f t="shared" si="1"/>
        <v>281.3332</v>
      </c>
    </row>
    <row r="11" spans="1:15">
      <c r="A11" s="3" t="s">
        <v>22</v>
      </c>
      <c r="B11" s="3">
        <v>11.0631</v>
      </c>
      <c r="C11" s="3">
        <v>11.7151</v>
      </c>
      <c r="D11" s="3">
        <v>12.7798</v>
      </c>
      <c r="E11" s="3">
        <v>13.5615</v>
      </c>
      <c r="F11" s="3">
        <v>14.9374</v>
      </c>
      <c r="G11" s="3">
        <v>15.7768</v>
      </c>
      <c r="H11" s="3">
        <v>16.6659</v>
      </c>
      <c r="I11" s="3">
        <v>17.812</v>
      </c>
      <c r="J11" s="3">
        <v>18.1058</v>
      </c>
      <c r="K11" s="3">
        <v>18.2084</v>
      </c>
      <c r="L11" s="3">
        <v>18.2754</v>
      </c>
      <c r="M11" s="3">
        <v>19.4833</v>
      </c>
      <c r="N11">
        <f t="shared" si="0"/>
        <v>8.4202</v>
      </c>
      <c r="O11">
        <f t="shared" si="1"/>
        <v>188.3845</v>
      </c>
    </row>
    <row r="13" spans="1:15">
      <c r="A13" s="1"/>
      <c r="B13" s="1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10</v>
      </c>
      <c r="K14" s="2" t="s">
        <v>11</v>
      </c>
      <c r="L14" s="2" t="s">
        <v>12</v>
      </c>
      <c r="M14" s="2" t="s">
        <v>13</v>
      </c>
    </row>
    <row r="15" spans="1:15">
      <c r="A15" s="3" t="s">
        <v>14</v>
      </c>
      <c r="B15" s="3">
        <v>307.4507</v>
      </c>
      <c r="C15" s="3">
        <v>325.5991</v>
      </c>
      <c r="D15" s="3">
        <v>343.4054</v>
      </c>
      <c r="E15" s="3">
        <v>366.5921</v>
      </c>
      <c r="F15" s="3">
        <v>393.2579</v>
      </c>
      <c r="G15" s="3">
        <v>416.0832</v>
      </c>
      <c r="H15" s="3">
        <v>437.1297</v>
      </c>
      <c r="I15" s="3">
        <v>450.7882</v>
      </c>
      <c r="J15" s="3">
        <v>466.8338</v>
      </c>
      <c r="K15" s="3">
        <v>477.2838</v>
      </c>
      <c r="L15" s="3">
        <v>491.415</v>
      </c>
      <c r="M15" s="3">
        <f>SUM(M16:M23)</f>
        <v>510.1123</v>
      </c>
      <c r="N15">
        <f>M15-M3</f>
        <v>233.58</v>
      </c>
    </row>
    <row r="16" spans="1:15">
      <c r="A16" s="3" t="s">
        <v>15</v>
      </c>
      <c r="B16" s="3">
        <v>26.9782</v>
      </c>
      <c r="C16" s="3">
        <v>27.6787</v>
      </c>
      <c r="D16" s="3">
        <v>28.5821</v>
      </c>
      <c r="E16" s="3">
        <v>29.1655</v>
      </c>
      <c r="F16" s="3">
        <v>30.6903</v>
      </c>
      <c r="G16" s="3">
        <v>31.006</v>
      </c>
      <c r="H16" s="3">
        <v>32.2026</v>
      </c>
      <c r="I16" s="3">
        <v>32.8173</v>
      </c>
      <c r="J16" s="3">
        <v>34.6734</v>
      </c>
      <c r="K16" s="3">
        <v>35.2213</v>
      </c>
      <c r="L16" s="3">
        <v>35.6433</v>
      </c>
      <c r="M16" s="3">
        <v>36.2438</v>
      </c>
      <c r="N16">
        <f t="shared" ref="N16:N23" si="2">M16-M4</f>
        <v>10.8759</v>
      </c>
    </row>
    <row r="17" spans="1:25">
      <c r="A17" s="3" t="s">
        <v>16</v>
      </c>
      <c r="B17" s="3">
        <v>19.4342</v>
      </c>
      <c r="C17" s="3">
        <v>20.4397</v>
      </c>
      <c r="D17" s="3">
        <v>21.9223</v>
      </c>
      <c r="E17" s="3">
        <v>23.337</v>
      </c>
      <c r="F17" s="3">
        <v>24.7926</v>
      </c>
      <c r="G17" s="3">
        <v>26.0393</v>
      </c>
      <c r="H17" s="3">
        <v>28.1462</v>
      </c>
      <c r="I17" s="3">
        <v>29.4843</v>
      </c>
      <c r="J17" s="3">
        <v>30.1981</v>
      </c>
      <c r="K17" s="3">
        <v>30.7765</v>
      </c>
      <c r="L17" s="3">
        <v>31.3837</v>
      </c>
      <c r="M17" s="3">
        <v>33.0064</v>
      </c>
      <c r="N17">
        <f t="shared" si="2"/>
        <v>15.5628</v>
      </c>
    </row>
    <row r="18" spans="1:25">
      <c r="A18" s="3" t="s">
        <v>17</v>
      </c>
      <c r="B18" s="3">
        <v>62.4585</v>
      </c>
      <c r="C18" s="3">
        <v>66.2538</v>
      </c>
      <c r="D18" s="3">
        <v>70.7486</v>
      </c>
      <c r="E18" s="3">
        <v>77.5138</v>
      </c>
      <c r="F18" s="3">
        <v>85.3489</v>
      </c>
      <c r="G18" s="3">
        <v>90.8211</v>
      </c>
      <c r="H18" s="3">
        <v>95.1364</v>
      </c>
      <c r="I18" s="3">
        <v>97.5629</v>
      </c>
      <c r="J18" s="3">
        <v>101.9613</v>
      </c>
      <c r="K18" s="3">
        <v>104.1562</v>
      </c>
      <c r="L18" s="3">
        <v>107.8369</v>
      </c>
      <c r="M18" s="3">
        <v>112.6578</v>
      </c>
      <c r="N18">
        <f t="shared" si="2"/>
        <v>56.1876</v>
      </c>
    </row>
    <row r="19" spans="1:25">
      <c r="A19" s="3" t="s">
        <v>18</v>
      </c>
      <c r="B19" s="3">
        <v>59.1089</v>
      </c>
      <c r="C19" s="3">
        <v>63.2563</v>
      </c>
      <c r="D19" s="3">
        <v>66.6748</v>
      </c>
      <c r="E19" s="3">
        <v>71.0691</v>
      </c>
      <c r="F19" s="3">
        <v>75.9689</v>
      </c>
      <c r="G19" s="3">
        <v>80.6566</v>
      </c>
      <c r="H19" s="3">
        <v>84.0681</v>
      </c>
      <c r="I19" s="3">
        <v>86.5008</v>
      </c>
      <c r="J19" s="3">
        <v>89.4711</v>
      </c>
      <c r="K19" s="3">
        <v>91.6668</v>
      </c>
      <c r="L19" s="3">
        <v>94.2727</v>
      </c>
      <c r="M19" s="3">
        <v>97.638</v>
      </c>
      <c r="N19">
        <f t="shared" si="2"/>
        <v>43.3228</v>
      </c>
    </row>
    <row r="20" spans="1:25">
      <c r="A20" s="3" t="s">
        <v>19</v>
      </c>
      <c r="B20" s="3">
        <v>41.2547</v>
      </c>
      <c r="C20" s="3">
        <v>45.0569</v>
      </c>
      <c r="D20" s="3">
        <v>48.3397</v>
      </c>
      <c r="E20" s="3">
        <v>53.0865</v>
      </c>
      <c r="F20" s="3">
        <v>57.7383</v>
      </c>
      <c r="G20" s="3">
        <v>61.6527</v>
      </c>
      <c r="H20" s="3">
        <v>65.0269</v>
      </c>
      <c r="I20" s="3">
        <v>66.821</v>
      </c>
      <c r="J20" s="3">
        <v>69.0212</v>
      </c>
      <c r="K20" s="3">
        <v>70.9149</v>
      </c>
      <c r="L20" s="3">
        <v>71.9354</v>
      </c>
      <c r="M20" s="3">
        <v>74.0778</v>
      </c>
      <c r="N20">
        <f t="shared" si="2"/>
        <v>38.0682</v>
      </c>
    </row>
    <row r="21" spans="1:25">
      <c r="A21" s="3" t="s">
        <v>20</v>
      </c>
      <c r="B21" s="3">
        <v>39.102</v>
      </c>
      <c r="C21" s="3">
        <v>40.2049</v>
      </c>
      <c r="D21" s="3">
        <v>41.0148</v>
      </c>
      <c r="E21" s="3">
        <v>41.5745</v>
      </c>
      <c r="F21" s="3">
        <v>42.4667</v>
      </c>
      <c r="G21" s="3">
        <v>44.1286</v>
      </c>
      <c r="H21" s="3">
        <v>45.146</v>
      </c>
      <c r="I21" s="3">
        <v>46.0957</v>
      </c>
      <c r="J21" s="3">
        <v>46.4417</v>
      </c>
      <c r="K21" s="3">
        <v>47.3976</v>
      </c>
      <c r="L21" s="3">
        <v>47.8359</v>
      </c>
      <c r="M21" s="3">
        <v>49.4494</v>
      </c>
      <c r="N21">
        <f t="shared" si="2"/>
        <v>15.2144</v>
      </c>
    </row>
    <row r="22" spans="1:25">
      <c r="A22" s="3" t="s">
        <v>21</v>
      </c>
      <c r="B22" s="3">
        <v>38.6486</v>
      </c>
      <c r="C22" s="3">
        <v>41.952</v>
      </c>
      <c r="D22" s="3">
        <v>44.9893</v>
      </c>
      <c r="E22" s="3">
        <v>49.0638</v>
      </c>
      <c r="F22" s="3">
        <v>53.576</v>
      </c>
      <c r="G22" s="3">
        <v>57.7377</v>
      </c>
      <c r="H22" s="3">
        <v>61.3124</v>
      </c>
      <c r="I22" s="3">
        <v>64.786</v>
      </c>
      <c r="J22" s="3">
        <v>67.7337</v>
      </c>
      <c r="K22" s="3">
        <v>69.1506</v>
      </c>
      <c r="L22" s="3">
        <v>71.4605</v>
      </c>
      <c r="M22" s="3">
        <v>75.1448</v>
      </c>
      <c r="N22">
        <f t="shared" si="2"/>
        <v>41.9373</v>
      </c>
    </row>
    <row r="23" spans="1:25">
      <c r="A23" s="3" t="s">
        <v>22</v>
      </c>
      <c r="B23" s="3">
        <v>20.4656</v>
      </c>
      <c r="C23" s="3">
        <v>20.7568</v>
      </c>
      <c r="D23" s="3">
        <v>21.1338</v>
      </c>
      <c r="E23" s="3">
        <v>21.7819</v>
      </c>
      <c r="F23" s="3">
        <v>22.6762</v>
      </c>
      <c r="G23" s="3">
        <v>24.0412</v>
      </c>
      <c r="H23" s="3">
        <v>26.0911</v>
      </c>
      <c r="I23" s="3">
        <v>26.7202</v>
      </c>
      <c r="J23" s="3">
        <v>27.3333</v>
      </c>
      <c r="K23" s="3">
        <v>27.9999</v>
      </c>
      <c r="L23" s="3">
        <v>31.0466</v>
      </c>
      <c r="M23" s="3">
        <v>31.8943</v>
      </c>
      <c r="N23">
        <f t="shared" si="2"/>
        <v>12.411</v>
      </c>
    </row>
    <row r="26" spans="1:25">
      <c r="A26" s="1"/>
      <c r="B26" s="1" t="s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T26" t="s">
        <v>25</v>
      </c>
      <c r="U26" t="s">
        <v>26</v>
      </c>
    </row>
    <row r="27" ht="16.2" spans="1:25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t="s">
        <v>27</v>
      </c>
      <c r="O27" t="s">
        <v>25</v>
      </c>
      <c r="P27" t="s">
        <v>26</v>
      </c>
      <c r="S27" s="4" t="s">
        <v>28</v>
      </c>
      <c r="T27" s="5">
        <f>O$29*0.2*$V27</f>
        <v>0.597937523456095</v>
      </c>
      <c r="U27" s="5">
        <f>P$29*0.2*$V27</f>
        <v>0.208394088321389</v>
      </c>
      <c r="V27">
        <v>0.31315794836863</v>
      </c>
      <c r="W27" s="6">
        <v>0.806331611777484</v>
      </c>
    </row>
    <row r="28" ht="16.2" spans="1:25">
      <c r="A28" s="3" t="s">
        <v>14</v>
      </c>
      <c r="B28" s="3">
        <v>533.4106</v>
      </c>
      <c r="C28" s="3">
        <v>541.9469</v>
      </c>
      <c r="D28" s="3">
        <v>552.8759</v>
      </c>
      <c r="E28" s="3">
        <v>582.1485</v>
      </c>
      <c r="F28" s="3">
        <v>638.7705</v>
      </c>
      <c r="G28" s="3">
        <v>641.0324</v>
      </c>
      <c r="H28" s="3">
        <v>645.6538</v>
      </c>
      <c r="I28" s="3">
        <v>653.5896</v>
      </c>
      <c r="J28" s="3">
        <v>663.6857</v>
      </c>
      <c r="K28" s="3">
        <v>674.7708</v>
      </c>
      <c r="L28" s="3">
        <v>691.3952</v>
      </c>
      <c r="M28" s="3">
        <f>SUM(M29:M36)</f>
        <v>709.3475</v>
      </c>
      <c r="N28" s="7">
        <f>M28-M15</f>
        <v>199.2352</v>
      </c>
      <c r="O28" s="7">
        <f>F28-M15</f>
        <v>128.6582</v>
      </c>
      <c r="P28" s="7">
        <f>SUM(P29:P36)</f>
        <v>85.577</v>
      </c>
      <c r="S28" s="4" t="s">
        <v>29</v>
      </c>
      <c r="T28" s="5">
        <f>O$29*0.2*$V28</f>
        <v>0.532770000085144</v>
      </c>
      <c r="U28" s="5">
        <f>P$29*0.2*$V28</f>
        <v>0.185681804699253</v>
      </c>
      <c r="V28">
        <v>0.279027747271441</v>
      </c>
      <c r="W28" s="6">
        <v>0.718451804784397</v>
      </c>
    </row>
    <row r="29" ht="16.2" spans="1:25">
      <c r="A29" s="3" t="s">
        <v>15</v>
      </c>
      <c r="B29" s="3">
        <v>40.2669</v>
      </c>
      <c r="C29" s="3">
        <v>40.9665</v>
      </c>
      <c r="D29" s="3">
        <v>41.1955</v>
      </c>
      <c r="E29" s="3">
        <v>43.8413</v>
      </c>
      <c r="F29" s="3">
        <v>45.7907</v>
      </c>
      <c r="G29" s="3">
        <v>47.4281</v>
      </c>
      <c r="H29" s="3">
        <v>47.8134</v>
      </c>
      <c r="I29" s="3">
        <v>48.021</v>
      </c>
      <c r="J29" s="3">
        <v>48.485</v>
      </c>
      <c r="K29" s="3">
        <v>48.631</v>
      </c>
      <c r="L29" s="3">
        <v>48.9102</v>
      </c>
      <c r="M29" s="3">
        <v>49.118</v>
      </c>
      <c r="N29" s="7">
        <f>M29-M16</f>
        <v>12.8742</v>
      </c>
      <c r="O29" s="7">
        <f t="shared" ref="O29:O36" si="3">F29-M16</f>
        <v>9.5469</v>
      </c>
      <c r="P29" s="7">
        <f t="shared" ref="P29:P36" si="4">M29-F29</f>
        <v>3.3273</v>
      </c>
      <c r="S29" s="4" t="s">
        <v>30</v>
      </c>
      <c r="T29" s="5">
        <f>O$29*0.2*$V29</f>
        <v>0.778672476458763</v>
      </c>
      <c r="U29" s="5">
        <f>P$29*0.2*$V29</f>
        <v>0.271384106979359</v>
      </c>
      <c r="V29">
        <v>0.40781430435993</v>
      </c>
      <c r="W29" s="6">
        <v>1.05005658343812</v>
      </c>
    </row>
    <row r="30" ht="16.2" spans="1:25">
      <c r="A30" s="3" t="s">
        <v>16</v>
      </c>
      <c r="B30" s="3">
        <v>33.9553</v>
      </c>
      <c r="C30" s="3">
        <v>35.4248</v>
      </c>
      <c r="D30" s="3">
        <v>38.6106</v>
      </c>
      <c r="E30" s="3">
        <v>39.799</v>
      </c>
      <c r="F30" s="3">
        <v>40.6438</v>
      </c>
      <c r="G30" s="3">
        <v>41.4853</v>
      </c>
      <c r="H30" s="3">
        <v>41.5625</v>
      </c>
      <c r="I30" s="3">
        <v>41.7585</v>
      </c>
      <c r="J30" s="3">
        <v>42.3557</v>
      </c>
      <c r="K30" s="3">
        <v>43.1243</v>
      </c>
      <c r="L30" s="3">
        <v>44.5704</v>
      </c>
      <c r="M30" s="3">
        <v>46.4985</v>
      </c>
      <c r="N30" s="7">
        <f>M30-M17</f>
        <v>13.4921</v>
      </c>
      <c r="O30" s="7">
        <f t="shared" si="3"/>
        <v>7.6374</v>
      </c>
      <c r="P30" s="7">
        <f t="shared" si="4"/>
        <v>5.8547</v>
      </c>
      <c r="S30" s="4" t="s">
        <v>31</v>
      </c>
      <c r="T30" s="5">
        <f>O30+O29*0.8</f>
        <v>15.27492</v>
      </c>
      <c r="U30" s="5">
        <f>P30+P29*0.8</f>
        <v>8.51654</v>
      </c>
      <c r="X30" s="8" t="s">
        <v>32</v>
      </c>
      <c r="Y30" s="8" t="s">
        <v>33</v>
      </c>
    </row>
    <row r="31" ht="16.2" spans="1:25">
      <c r="A31" s="3" t="s">
        <v>17</v>
      </c>
      <c r="B31" s="3">
        <v>115.6195</v>
      </c>
      <c r="C31" s="3">
        <v>117.2392</v>
      </c>
      <c r="D31" s="3">
        <v>119.0594</v>
      </c>
      <c r="E31" s="3">
        <v>123.2488</v>
      </c>
      <c r="F31" s="3">
        <v>130.592</v>
      </c>
      <c r="G31" s="3">
        <v>131.4854</v>
      </c>
      <c r="H31" s="3">
        <v>132.1542</v>
      </c>
      <c r="I31" s="3">
        <v>134.2773</v>
      </c>
      <c r="J31" s="3">
        <v>137.7655</v>
      </c>
      <c r="K31" s="3">
        <v>142.6304</v>
      </c>
      <c r="L31" s="3">
        <v>149.2681</v>
      </c>
      <c r="M31" s="3">
        <v>155.9638</v>
      </c>
      <c r="N31" s="7">
        <f t="shared" ref="N31:N36" si="5">M31-M18</f>
        <v>43.306</v>
      </c>
      <c r="O31" s="7">
        <f t="shared" si="3"/>
        <v>17.9342</v>
      </c>
      <c r="P31" s="7">
        <f t="shared" si="4"/>
        <v>25.3718</v>
      </c>
      <c r="S31" s="4" t="s">
        <v>34</v>
      </c>
      <c r="T31" s="5">
        <f t="shared" ref="T31:T36" si="6">O31</f>
        <v>17.9342</v>
      </c>
      <c r="U31" s="5">
        <f t="shared" ref="U31:U36" si="7">P31</f>
        <v>25.3718</v>
      </c>
      <c r="X31" s="9" t="s">
        <v>28</v>
      </c>
      <c r="Y31" s="10">
        <v>0.806331611777484</v>
      </c>
    </row>
    <row r="32" ht="16.2" spans="1:25">
      <c r="A32" s="3" t="s">
        <v>18</v>
      </c>
      <c r="B32" s="3">
        <v>100.518</v>
      </c>
      <c r="C32" s="3">
        <v>102.2152</v>
      </c>
      <c r="D32" s="3">
        <v>103.1739</v>
      </c>
      <c r="E32" s="3">
        <v>109.4131</v>
      </c>
      <c r="F32" s="3">
        <v>118.7877</v>
      </c>
      <c r="G32" s="3">
        <v>120.632</v>
      </c>
      <c r="H32" s="3">
        <v>120.7882</v>
      </c>
      <c r="I32" s="3">
        <v>121.7784</v>
      </c>
      <c r="J32" s="3">
        <v>123.5226</v>
      </c>
      <c r="K32" s="3">
        <v>125.5916</v>
      </c>
      <c r="L32" s="3">
        <v>128.3586</v>
      </c>
      <c r="M32" s="3">
        <v>132.5405</v>
      </c>
      <c r="N32" s="7">
        <f t="shared" si="5"/>
        <v>34.9025</v>
      </c>
      <c r="O32" s="7">
        <f t="shared" si="3"/>
        <v>21.1497</v>
      </c>
      <c r="P32" s="7">
        <f t="shared" si="4"/>
        <v>13.7528</v>
      </c>
      <c r="S32" s="4" t="s">
        <v>35</v>
      </c>
      <c r="T32" s="5">
        <f t="shared" si="6"/>
        <v>21.1497</v>
      </c>
      <c r="U32" s="5">
        <f t="shared" si="7"/>
        <v>13.7528</v>
      </c>
      <c r="X32" s="9" t="s">
        <v>29</v>
      </c>
      <c r="Y32" s="10">
        <v>0.718451804784397</v>
      </c>
    </row>
    <row r="33" ht="16.2" spans="1:25">
      <c r="A33" s="3" t="s">
        <v>19</v>
      </c>
      <c r="B33" s="3">
        <v>77.8745</v>
      </c>
      <c r="C33" s="3">
        <v>78.5816</v>
      </c>
      <c r="D33" s="3">
        <v>80.6682</v>
      </c>
      <c r="E33" s="3">
        <v>84.9162</v>
      </c>
      <c r="F33" s="3">
        <v>92.6814</v>
      </c>
      <c r="G33" s="3">
        <v>95.274</v>
      </c>
      <c r="H33" s="3">
        <v>95.4294</v>
      </c>
      <c r="I33" s="3">
        <v>96.1363</v>
      </c>
      <c r="J33" s="3">
        <v>96.8259</v>
      </c>
      <c r="K33" s="3">
        <v>97.2126</v>
      </c>
      <c r="L33" s="3">
        <v>98.327</v>
      </c>
      <c r="M33" s="3">
        <v>99.3979</v>
      </c>
      <c r="N33" s="7">
        <f t="shared" si="5"/>
        <v>25.3201</v>
      </c>
      <c r="O33" s="7">
        <f t="shared" si="3"/>
        <v>18.6036</v>
      </c>
      <c r="P33" s="7">
        <f t="shared" si="4"/>
        <v>6.71650000000001</v>
      </c>
      <c r="S33" s="4" t="s">
        <v>36</v>
      </c>
      <c r="T33" s="5">
        <f t="shared" si="6"/>
        <v>18.6036</v>
      </c>
      <c r="U33" s="5">
        <f t="shared" si="7"/>
        <v>6.71650000000001</v>
      </c>
      <c r="X33" s="9" t="s">
        <v>30</v>
      </c>
      <c r="Y33" s="10">
        <v>1.05005658343812</v>
      </c>
    </row>
    <row r="34" ht="16.2" spans="1:25">
      <c r="A34" s="3" t="s">
        <v>20</v>
      </c>
      <c r="B34" s="3">
        <v>50.6893</v>
      </c>
      <c r="C34" s="3">
        <v>51.1033</v>
      </c>
      <c r="D34" s="3">
        <v>51.2329</v>
      </c>
      <c r="E34" s="3">
        <v>52.902</v>
      </c>
      <c r="F34" s="3">
        <v>55.7845</v>
      </c>
      <c r="G34" s="3">
        <v>57.8285</v>
      </c>
      <c r="H34" s="3">
        <v>57.9077</v>
      </c>
      <c r="I34" s="3">
        <v>57.9048</v>
      </c>
      <c r="J34" s="3">
        <v>58.0055</v>
      </c>
      <c r="K34" s="3">
        <v>58.0065</v>
      </c>
      <c r="L34" s="3">
        <v>58.2795</v>
      </c>
      <c r="M34" s="3">
        <v>59.2812</v>
      </c>
      <c r="N34" s="7">
        <f t="shared" si="5"/>
        <v>9.8318</v>
      </c>
      <c r="O34" s="7">
        <f t="shared" si="3"/>
        <v>6.3351</v>
      </c>
      <c r="P34" s="7">
        <f t="shared" si="4"/>
        <v>3.4967</v>
      </c>
      <c r="S34" s="4" t="s">
        <v>37</v>
      </c>
      <c r="T34" s="5">
        <f t="shared" si="6"/>
        <v>6.3351</v>
      </c>
      <c r="U34" s="5">
        <f t="shared" si="7"/>
        <v>3.4967</v>
      </c>
    </row>
    <row r="35" ht="16.2" spans="1:25">
      <c r="A35" s="3" t="s">
        <v>21</v>
      </c>
      <c r="B35" s="3">
        <v>81.6095</v>
      </c>
      <c r="C35" s="3">
        <v>82.9385</v>
      </c>
      <c r="D35" s="3">
        <v>84.4337</v>
      </c>
      <c r="E35" s="3">
        <v>90.329</v>
      </c>
      <c r="F35" s="3">
        <v>109.5084</v>
      </c>
      <c r="G35" s="3">
        <v>97.4447</v>
      </c>
      <c r="H35" s="3">
        <v>97.6455</v>
      </c>
      <c r="I35" s="3">
        <v>98.1867</v>
      </c>
      <c r="J35" s="3">
        <v>98.7202</v>
      </c>
      <c r="K35" s="3">
        <v>99.6807</v>
      </c>
      <c r="L35" s="3">
        <v>101.6703</v>
      </c>
      <c r="M35" s="3">
        <v>103.1678</v>
      </c>
      <c r="N35" s="7">
        <f t="shared" si="5"/>
        <v>28.023</v>
      </c>
      <c r="O35" s="7">
        <f t="shared" si="3"/>
        <v>34.3636</v>
      </c>
      <c r="P35" s="7">
        <f>M35-F35+15</f>
        <v>8.65940000000001</v>
      </c>
      <c r="S35" s="4" t="s">
        <v>38</v>
      </c>
      <c r="T35" s="5">
        <f t="shared" si="6"/>
        <v>34.3636</v>
      </c>
      <c r="U35" s="5">
        <f t="shared" si="7"/>
        <v>8.65940000000001</v>
      </c>
    </row>
    <row r="36" ht="16.2" spans="1:25">
      <c r="A36" s="3" t="s">
        <v>22</v>
      </c>
      <c r="B36" s="3">
        <v>32.8776</v>
      </c>
      <c r="C36" s="3">
        <v>33.4778</v>
      </c>
      <c r="D36" s="3">
        <v>34.5017</v>
      </c>
      <c r="E36" s="3">
        <v>37.6991</v>
      </c>
      <c r="F36" s="3">
        <v>44.982</v>
      </c>
      <c r="G36" s="3">
        <v>49.4544</v>
      </c>
      <c r="H36" s="3">
        <v>52.3529</v>
      </c>
      <c r="I36" s="3">
        <v>55.5266</v>
      </c>
      <c r="J36" s="3">
        <v>58.0053</v>
      </c>
      <c r="K36" s="3">
        <v>59.8937</v>
      </c>
      <c r="L36" s="3">
        <v>62.0111</v>
      </c>
      <c r="M36" s="3">
        <v>63.3798</v>
      </c>
      <c r="N36" s="7">
        <f t="shared" si="5"/>
        <v>31.4855</v>
      </c>
      <c r="O36" s="7">
        <f t="shared" si="3"/>
        <v>13.0877</v>
      </c>
      <c r="P36" s="7">
        <f t="shared" si="4"/>
        <v>18.3978</v>
      </c>
      <c r="S36" s="4" t="s">
        <v>39</v>
      </c>
      <c r="T36" s="5">
        <f t="shared" si="6"/>
        <v>13.0877</v>
      </c>
      <c r="U36" s="5">
        <f t="shared" si="7"/>
        <v>18.3978</v>
      </c>
    </row>
    <row r="38" spans="1:25">
      <c r="A38" s="11"/>
      <c r="B38" s="11"/>
      <c r="C38" s="11"/>
      <c r="D38" s="11"/>
    </row>
    <row r="39" spans="1:25">
      <c r="A39" s="12"/>
      <c r="B39" s="12" t="s">
        <v>40</v>
      </c>
      <c r="C39" s="12"/>
      <c r="D39" s="12"/>
      <c r="E39" s="12"/>
      <c r="F39" s="12"/>
      <c r="G39" s="12"/>
    </row>
    <row r="40" spans="1: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</row>
    <row r="41" spans="1:25">
      <c r="A41" s="3" t="s">
        <v>14</v>
      </c>
      <c r="B41" s="13">
        <f t="shared" ref="B41:G41" si="8">SUM(B42:B49)</f>
        <v>727.9129</v>
      </c>
      <c r="C41" s="13">
        <f t="shared" si="8"/>
        <v>741.401</v>
      </c>
      <c r="D41" s="13">
        <f t="shared" si="8"/>
        <v>750.3566</v>
      </c>
      <c r="E41" s="13">
        <f t="shared" si="8"/>
        <v>760.44910075</v>
      </c>
      <c r="F41" s="13">
        <f t="shared" si="8"/>
        <v>774.1931</v>
      </c>
      <c r="G41" s="13">
        <f t="shared" si="8"/>
        <v>787.406</v>
      </c>
      <c r="H41">
        <f>G41-M28</f>
        <v>78.0585</v>
      </c>
      <c r="I41">
        <f>G41-F28</f>
        <v>148.6355</v>
      </c>
    </row>
    <row r="42" spans="1:25">
      <c r="A42" s="3" t="s">
        <v>15</v>
      </c>
      <c r="B42" s="13">
        <v>50.2303</v>
      </c>
      <c r="C42" s="13">
        <v>49.868</v>
      </c>
      <c r="D42" s="13">
        <v>51.0352</v>
      </c>
      <c r="E42" s="13">
        <v>51.0677842</v>
      </c>
      <c r="F42" s="13">
        <v>52.6876</v>
      </c>
      <c r="G42" s="13">
        <v>57.2288</v>
      </c>
      <c r="H42">
        <f t="shared" ref="H42:H49" si="9">G42-M29</f>
        <v>8.1108</v>
      </c>
      <c r="K42" s="14">
        <v>0.4484</v>
      </c>
    </row>
    <row r="43" spans="1:25">
      <c r="A43" s="3" t="s">
        <v>16</v>
      </c>
      <c r="B43" s="13">
        <v>48.2625</v>
      </c>
      <c r="C43" s="13">
        <v>49.5126</v>
      </c>
      <c r="D43" s="13">
        <v>49.941</v>
      </c>
      <c r="E43" s="13">
        <v>50.777866</v>
      </c>
      <c r="F43" s="13">
        <v>52.0746</v>
      </c>
      <c r="G43" s="13">
        <v>52.7764</v>
      </c>
      <c r="H43">
        <f t="shared" si="9"/>
        <v>6.2779</v>
      </c>
      <c r="J43">
        <f>H42+H43-K42-K44-K43</f>
        <v>12.8915</v>
      </c>
      <c r="K43" s="14">
        <v>0.4467</v>
      </c>
    </row>
    <row r="44" spans="1:25">
      <c r="A44" s="3" t="s">
        <v>17</v>
      </c>
      <c r="B44" s="13">
        <v>163.7472</v>
      </c>
      <c r="C44" s="13">
        <v>168.8783</v>
      </c>
      <c r="D44" s="13">
        <v>172.2041</v>
      </c>
      <c r="E44" s="13">
        <v>176.07959555</v>
      </c>
      <c r="F44" s="13">
        <v>178.8796</v>
      </c>
      <c r="G44" s="13">
        <v>180.0876</v>
      </c>
      <c r="H44">
        <f t="shared" si="9"/>
        <v>24.1238</v>
      </c>
      <c r="K44" s="14">
        <v>0.6021</v>
      </c>
    </row>
    <row r="45" spans="1:25">
      <c r="A45" s="3" t="s">
        <v>18</v>
      </c>
      <c r="B45" s="13">
        <v>136.2625</v>
      </c>
      <c r="C45" s="13">
        <v>140.1051</v>
      </c>
      <c r="D45" s="13">
        <v>141.4013</v>
      </c>
      <c r="E45" s="13">
        <v>144.1106775</v>
      </c>
      <c r="F45" s="13">
        <v>145.3854</v>
      </c>
      <c r="G45" s="13">
        <v>148.7795</v>
      </c>
      <c r="H45">
        <f t="shared" si="9"/>
        <v>16.239</v>
      </c>
    </row>
    <row r="46" spans="1:25">
      <c r="A46" s="3" t="s">
        <v>19</v>
      </c>
      <c r="B46" s="13">
        <v>100.6143</v>
      </c>
      <c r="C46" s="13">
        <v>102.0303</v>
      </c>
      <c r="D46" s="13">
        <v>103.1527</v>
      </c>
      <c r="E46" s="13">
        <v>104.271225</v>
      </c>
      <c r="F46" s="13">
        <v>108.4933</v>
      </c>
      <c r="G46" s="13">
        <v>109.7064</v>
      </c>
      <c r="H46">
        <f t="shared" si="9"/>
        <v>10.3085</v>
      </c>
    </row>
    <row r="47" spans="1:25">
      <c r="A47" s="3" t="s">
        <v>20</v>
      </c>
      <c r="B47" s="13">
        <v>59.4124</v>
      </c>
      <c r="C47" s="13">
        <v>59.7942</v>
      </c>
      <c r="D47" s="13">
        <v>60.1472</v>
      </c>
      <c r="E47" s="13">
        <v>60.3073696000001</v>
      </c>
      <c r="F47" s="13">
        <v>60.8298</v>
      </c>
      <c r="G47" s="13">
        <v>61.5908</v>
      </c>
      <c r="H47">
        <f t="shared" si="9"/>
        <v>2.3096</v>
      </c>
    </row>
    <row r="48" spans="1:25">
      <c r="A48" s="3" t="s">
        <v>21</v>
      </c>
      <c r="B48" s="13">
        <v>105.0452</v>
      </c>
      <c r="C48" s="13">
        <v>105.4974</v>
      </c>
      <c r="D48" s="13">
        <v>105.9771</v>
      </c>
      <c r="E48" s="13">
        <v>106.4341634</v>
      </c>
      <c r="F48" s="13">
        <v>107.5309</v>
      </c>
      <c r="G48" s="13">
        <v>108.3176</v>
      </c>
      <c r="H48">
        <f t="shared" si="9"/>
        <v>5.1498</v>
      </c>
    </row>
    <row r="49" spans="1:8">
      <c r="A49" s="3" t="s">
        <v>22</v>
      </c>
      <c r="B49" s="13">
        <v>64.3385</v>
      </c>
      <c r="C49" s="13">
        <v>65.7151</v>
      </c>
      <c r="D49" s="13">
        <v>66.498</v>
      </c>
      <c r="E49" s="13">
        <v>67.4004195</v>
      </c>
      <c r="F49" s="13">
        <v>68.3119</v>
      </c>
      <c r="G49" s="13">
        <v>68.9189</v>
      </c>
      <c r="H49">
        <f t="shared" si="9"/>
        <v>5.53909999999999</v>
      </c>
    </row>
  </sheetData>
  <mergeCells count="4">
    <mergeCell ref="B1:M1"/>
    <mergeCell ref="B13:M13"/>
    <mergeCell ref="B26:M26"/>
    <mergeCell ref="B39:G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许恒</cp:lastModifiedBy>
  <dcterms:created xsi:type="dcterms:W3CDTF">2026-03-30T18:02:00Z</dcterms:created>
  <dcterms:modified xsi:type="dcterms:W3CDTF">2026-10-19T11:27:48Z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1C66ED76142841DDBC2991DCD803EEB4_13</vt:lpwstr>
  </property>
  <property fmtid="{D5CDD505-2E9C-101B-9397-08002B2CF9AE}" pid="3" name="KSOProductBuildVer">
    <vt:lpwstr>2052-12.1.2.23578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