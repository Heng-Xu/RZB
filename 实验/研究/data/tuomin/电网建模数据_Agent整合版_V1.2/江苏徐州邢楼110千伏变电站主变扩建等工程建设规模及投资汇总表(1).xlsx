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Sheet1!$A$11:$X$48</definedName>
    <definedName name="_xlnm.Print_Titles" localSheetId="0">Sheet1!$4:$6</definedName>
    <definedName name="_xlnm.Print_Area" localSheetId="0">Sheet1!$A$1:$Q$56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<sst xmlns="http://schemas.openxmlformats.org/spreadsheetml/2006/main" count="149" uniqueCount="109">
  <si>
    <t>江苏徐州邢楼110千伏变电站主变扩建等工程建设规模及投资汇总表</t>
  </si>
  <si>
    <t>单位：万千伏安/个/公里/万元</t>
  </si>
  <si>
    <t>序号</t>
  </si>
  <si>
    <t>项目名称</t>
  </si>
  <si>
    <t>建设内容</t>
  </si>
  <si>
    <t>设备选型</t>
  </si>
  <si>
    <t>建设规模</t>
  </si>
  <si>
    <t>投资估算</t>
  </si>
  <si>
    <t>变电
容量</t>
  </si>
  <si>
    <t>间隔</t>
  </si>
  <si>
    <t>架空
线路</t>
  </si>
  <si>
    <t>电缆
线路</t>
  </si>
  <si>
    <t>光缆</t>
  </si>
  <si>
    <t>建筑
工程费</t>
  </si>
  <si>
    <t>设备
购置费</t>
  </si>
  <si>
    <t>安装
工程费</t>
  </si>
  <si>
    <t>其他费用</t>
  </si>
  <si>
    <t>基本
预备费</t>
  </si>
  <si>
    <t>静态</t>
  </si>
  <si>
    <t>动态</t>
  </si>
  <si>
    <t>合计</t>
  </si>
  <si>
    <t>其中：建场费</t>
  </si>
  <si>
    <t>总计</t>
  </si>
  <si>
    <t>110千伏工程</t>
  </si>
  <si>
    <t>35千伏工程</t>
  </si>
  <si>
    <t>（一）</t>
  </si>
  <si>
    <t>邳州</t>
  </si>
  <si>
    <t>一</t>
  </si>
  <si>
    <t>江苏徐州邢楼110千伏变电站主变扩建工程</t>
  </si>
  <si>
    <t>1</t>
  </si>
  <si>
    <t>邢楼110千伏变电站主变扩建工程</t>
  </si>
  <si>
    <t>主变规模：
本期新购5万千伏安主变，扩建第三台主变
出线规模：
110千伏：本期不变
10千伏：本期新增12回</t>
  </si>
  <si>
    <t>主变：
三相双绕组油浸自冷有载调压变压器
户外一体式布置
电压变比110/10千伏
接线组别YN，d11
主接线：
110千伏：本期不变
10千伏：本期单母线三分段接线，中置式开关柜
无功补偿：
本期配置3+5兆乏电容器</t>
  </si>
  <si>
    <t>二</t>
  </si>
  <si>
    <t>江苏徐州墩集110千伏变电站主变扩建工程</t>
  </si>
  <si>
    <t>墩集110千伏变电站主变扩建工程</t>
  </si>
  <si>
    <t>主变：
三相双绕组油浸自冷有载调压变压器
户外一体式布置
电压变比110/10千伏
接线组别YN，d11
主接线：
110千伏：本期不变
10千伏：本期单母线六分段环形接线，中置式开关柜
无功补偿：
本期配置3+5兆乏电容器</t>
  </si>
  <si>
    <t>（二）</t>
  </si>
  <si>
    <t>新沂</t>
  </si>
  <si>
    <t>三</t>
  </si>
  <si>
    <t>江苏徐州沭东110千伏变电站主变扩建工程</t>
  </si>
  <si>
    <t>沭东110千伏变电站主变扩建工程</t>
  </si>
  <si>
    <t>主变：
三相双绕组油浸自冷有载调压变压器
户内分体式布置
电压变比110/10千伏
接线组别YN，d11
主接线：
110千伏：本期不变
10千伏：本期单母线四分段接线，中置式开关柜
无功补偿：
本期扩建主变配置3+5兆乏电容器；原1号主变新增1×5兆乏电容器</t>
  </si>
  <si>
    <t>四</t>
  </si>
  <si>
    <t>江苏徐州王庄110千伏变电站2号主变增容工程</t>
  </si>
  <si>
    <t>王庄110千伏变电站2号主变增容工程</t>
  </si>
  <si>
    <t>主变规模：
本期新购5万千伏安主变，替换原2万千伏安主变
出线规模：
110千伏：本期不变
35千伏：本期不变
10千伏：本期新增9回</t>
  </si>
  <si>
    <t>主变：
三相三绕组油浸自冷有载调压变压器
户外一体式布置
电压变比110/35/10千伏
接线组别YN，yn0，d11
主接线：
110千伏：本期不变
35千伏：本期不变
10千伏：本期不变，中置式开关柜
无功补偿：
本期配置1×4兆乏电容器</t>
  </si>
  <si>
    <t>五</t>
  </si>
  <si>
    <t>江苏徐州凤云110千伏变电站主变扩建工程</t>
  </si>
  <si>
    <t>凤云110千伏变电站主变扩建工程</t>
  </si>
  <si>
    <t>主变：
三相双绕组油浸自冷有载调压变压器
户外一体式布置
电压变比110/10千伏
接线组别YN，d11
主接线：
110千伏：本期不变
10千伏：本期单母线三分段接线，中置式开关柜
无功补偿：
本期配置4+4兆乏电容器</t>
  </si>
  <si>
    <t>（三）</t>
  </si>
  <si>
    <t>铜山</t>
  </si>
  <si>
    <t>六</t>
  </si>
  <si>
    <t>江苏徐州周庙110千伏变电站主变扩建工程</t>
  </si>
  <si>
    <t>周庙110千伏变电站主变扩建工程</t>
  </si>
  <si>
    <t>主变：
三相双绕组油浸自冷有载调压变压器
户外一体式布置
电压变比110/10千伏
接线组别YN，d11
主接线：
110千伏：本期不变
10千伏：本期单母线三分段接线，中置式开关柜
无功补偿：
本期配置2×4兆乏电容器</t>
  </si>
  <si>
    <t>（四）</t>
  </si>
  <si>
    <t>丰县</t>
  </si>
  <si>
    <t>七</t>
  </si>
  <si>
    <t>江苏徐州金刘寨110千伏变电站主变扩建工程</t>
  </si>
  <si>
    <t>金刘寨110千伏变电站主变扩建工程</t>
  </si>
  <si>
    <t>主变：
三相双绕组油浸自冷有载调压变压器
户外一体式布置
电压变比110/10千伏
接线组别YN，d11
主接线：
110千伏：本期不变
10千伏：本期单母线三分段接线，中置式开关柜
无功补偿：
本期配置2×（4+4）兆乏电容器</t>
  </si>
  <si>
    <t>八</t>
  </si>
  <si>
    <t>江苏徐州史小桥110千伏变电站主变扩建工程</t>
  </si>
  <si>
    <t>史小桥110千伏变电站主变扩建工程</t>
  </si>
  <si>
    <t>主变规模：
本期新购5万千伏安主变，扩建第三台主变
出线规模：
110千伏：本期不变
10千伏：本期新增14回</t>
  </si>
  <si>
    <t>主变：
三相双绕组油浸自冷有载调压变压器
户外一体式布置
电压变比110/10千伏
接线组别YN，d11
主接线：
110千伏：本期不变
10千伏：本期单母线六分段环形接线，中置式开关柜
无功补偿：
本期配置6+4兆乏电容器</t>
  </si>
  <si>
    <t>九</t>
  </si>
  <si>
    <t>江苏徐州郭楼110千伏变电站主变扩建工程</t>
  </si>
  <si>
    <t>郭楼110千伏变电站主变扩建工程</t>
  </si>
  <si>
    <t>主变规模：
本期新购5万千伏安主变，扩建第三台主变
出线规模：
110千伏：本期不变
10千伏：本期不变</t>
  </si>
  <si>
    <t>主变：
三相双绕组油浸自冷有载调压变压器
户外一体式布置
电压变比110/10千伏
接线组别YN，d11
主接线：
110千伏：本期不变
10千伏：本期单母线六分段环形接线，中置式开关柜
无功补偿：
本期配置2×4兆乏电容器</t>
  </si>
  <si>
    <t>（五）</t>
  </si>
  <si>
    <t>睢宁</t>
  </si>
  <si>
    <t>十</t>
  </si>
  <si>
    <t xml:space="preserve">江苏徐州鲁庙110千伏变电站1号2号主变增容工程 </t>
  </si>
  <si>
    <t xml:space="preserve">鲁庙110千伏变电站1号2号主变增容工程 </t>
  </si>
  <si>
    <t>主变规模：
本期新购2×5万千伏安主变，替换原2×3.15万千伏安主变
出线规模：
110千伏：本期不变
35千伏：本期不变
10千伏：本期新增1回</t>
  </si>
  <si>
    <t>主变：
三相三绕组油浸自冷有载调压变压器
户外一体式布置
电压变比110/35/10千伏
接线组别YN，yn0，d11
主接线：
110千伏：本期不变
35千伏：本期不变
10千伏：本期不变，中置式开关柜
无功补偿：
本期配置（3+5）+（3+4.8）兆乏电容器</t>
  </si>
  <si>
    <t>贾汪</t>
  </si>
  <si>
    <t>江苏徐州龙山35千伏变电站1号2号主变增容工程</t>
  </si>
  <si>
    <t>龙山35千伏变电站1号2号主变增容工程</t>
  </si>
  <si>
    <t>主变规模：
本期新购2×2万千伏安主变，替换原2×0.8万千伏安主变
出线规模：
35千伏：本期不变
10千伏：本期新增3回</t>
  </si>
  <si>
    <t>主变：
三相双绕组油浸自冷有载调压变压器
户外一体式布置
电压变比35/10千伏
接线组别YN，d11
主接线：
35千伏：本期不变
10千伏：本期不变，中置式开关柜
无功补偿：
本期配置1×2兆乏电容器</t>
  </si>
  <si>
    <t>江苏徐州港上35千伏变电站2号主变增容工程</t>
  </si>
  <si>
    <t>港上35千伏变电站2号主变增容工程</t>
  </si>
  <si>
    <t>主变规模：
本期新购2万千伏安主变，替换原1万千伏安主变
出线规模：
35千伏：本期不变
10千伏：本期不变</t>
  </si>
  <si>
    <t>主变：
三相双绕组油浸自冷有载调压变压器
户外一体式布置
电压变比35/10千伏
接线组别YN，d11
主接线：
35千伏：本期不变
10千伏：本期不变
无功补偿：
本期配置1×2兆乏电容器</t>
  </si>
  <si>
    <t xml:space="preserve">江苏徐州新桥35千伏变电站2号主变增容工程 </t>
  </si>
  <si>
    <t xml:space="preserve">新桥35千伏变电站2号主变增容工程 </t>
  </si>
  <si>
    <t>江苏徐州踢球35千伏变电站1号2号主变增容工程</t>
  </si>
  <si>
    <t>踢球35千伏变电站1号2号主变增容工程</t>
  </si>
  <si>
    <t>主变规模：
本期新购2×2万千伏安主变，替换原2×0.5万千伏安主变
出线规模：
35千伏：本期不变
10千伏：本期不变</t>
  </si>
  <si>
    <t>主变：
三相双绕组油浸自冷有载调压变压器
户外一体式布置
电压变比35/10千伏
接线组别YN，d11
主接线：
35千伏：本期不变
10千伏：本期不变
无功补偿：
本期新增2×2兆乏电容器</t>
  </si>
  <si>
    <t>江苏徐州和集35千伏变电站1号2号主变增容工程</t>
  </si>
  <si>
    <t>和集35千伏变电站1号2号主变增容工程</t>
  </si>
  <si>
    <t>主变规模：
本期新购2×2万千伏安主变，替换原0.8+1.25万千伏安主变
出线规模：
35千伏：本期不变
10千伏：本期新增4回</t>
  </si>
  <si>
    <t>主变：
三相双绕组油浸自冷有载调压变压器
户外一体式布置
电压变比35/10千伏
接线组别YN，d11
主接线：
35千伏：本期不变
10千伏：本期不变，中置式开关柜
无功补偿：
本期配置2×2兆乏电容器</t>
  </si>
  <si>
    <t>沛县</t>
  </si>
  <si>
    <t>江苏徐州胡寨35千伏变电站2号主变增容工程</t>
  </si>
  <si>
    <t>胡寨35千伏变电站2号主变增容工程</t>
  </si>
  <si>
    <t>主变规模：
本期新购2万千伏安主变，替换原0.8万千伏安主变
出线规模：
35千伏：本期不变
10千伏：本期不变</t>
  </si>
  <si>
    <t>主变：
三相双绕组油浸自冷有载调压变压器
户外一体式布置
电压变比35/10千伏
接线组别YN，d11
主接线：
35千伏：本期不变
10千伏：本期不变
无功补偿：
本期配置1×3兆乏电容器</t>
  </si>
  <si>
    <t>江苏徐州湖西35千伏变电站1号主变增容工程</t>
  </si>
  <si>
    <t>湖西35千伏变电站1号主变增容工程</t>
  </si>
  <si>
    <t>主变规模：
本期新购2万千伏安主变，替换原0.8万千伏安主变
出线规模：
35千伏：本期不变
10千伏：本期新增4回</t>
  </si>
  <si>
    <t>主变：
三相双绕组油浸自冷有载调压变压器
户外一体式布置
电压变比35/10千伏
接线组别YN，d11
主接线：
35千伏：本期不变
10千伏：本期不变，中置式开关柜
无功补偿：
本期不变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</si>
</sst>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_);[Red]\(0\)"/>
    <numFmt numFmtId="178" formatCode="0_ "/>
    <numFmt numFmtId="179" formatCode="0.0_);[Red]\(0.0\)"/>
    <numFmt numFmtId="180" formatCode="0.0_ "/>
    <numFmt numFmtId="181" formatCode="0.00_ "/>
  </numFmts>
  <fonts count="27">
    <font>
      <sz val="11"/>
      <color theme="1"/>
      <name val="宋体"/>
      <charset val="134"/>
      <scheme val="minor"/>
    </font>
    <font>
      <sz val="11"/>
      <name val="方正仿宋_GBK"/>
      <charset val="134"/>
    </font>
    <font>
      <sz val="10"/>
      <name val="方正仿宋_GBK"/>
      <charset val="134"/>
    </font>
    <font>
      <sz val="11"/>
      <name val="宋体"/>
      <charset val="134"/>
      <scheme val="minor"/>
    </font>
    <font>
      <sz val="11"/>
      <name val="方正黑体_GBK"/>
      <charset val="134"/>
    </font>
    <font>
      <sz val="16"/>
      <name val="方正小标宋_GBK"/>
      <charset val="134"/>
    </font>
    <font>
      <b/>
      <sz val="10"/>
      <name val="方正仿宋_GBK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1" applyNumberFormat="0" applyAlignment="0" applyProtection="0">
      <alignment vertical="center"/>
    </xf>
    <xf numFmtId="0" fontId="16" fillId="4" borderId="12" applyNumberFormat="0" applyAlignment="0" applyProtection="0">
      <alignment vertical="center"/>
    </xf>
    <xf numFmtId="0" fontId="17" fillId="4" borderId="11" applyNumberFormat="0" applyAlignment="0" applyProtection="0">
      <alignment vertical="center"/>
    </xf>
    <xf numFmtId="0" fontId="18" fillId="5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 applyNumberFormat="0" applyBorder="0" applyProtection="0">
      <alignment vertical="center"/>
    </xf>
    <xf numFmtId="0" fontId="0" fillId="0" borderId="0">
      <alignment vertical="center"/>
    </xf>
    <xf numFmtId="0" fontId="0" fillId="0" borderId="0"/>
  </cellStyleXfs>
  <cellXfs count="49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>
      <alignment vertical="center"/>
    </xf>
    <xf numFmtId="49" fontId="4" fillId="0" borderId="0" xfId="0" applyNumberFormat="1" applyFont="1" applyFill="1" applyAlignment="1">
      <alignment horizontal="justify" vertical="center"/>
    </xf>
    <xf numFmtId="176" fontId="1" fillId="0" borderId="0" xfId="0" applyNumberFormat="1" applyFont="1" applyFill="1">
      <alignment vertical="center"/>
    </xf>
    <xf numFmtId="176" fontId="1" fillId="0" borderId="0" xfId="0" applyNumberFormat="1" applyFont="1" applyFill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>
      <alignment vertical="center"/>
    </xf>
    <xf numFmtId="49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177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6" fillId="0" borderId="1" xfId="0" applyNumberFormat="1" applyFont="1" applyFill="1" applyBorder="1" applyAlignment="1" applyProtection="1">
      <alignment horizontal="left" vertical="center" wrapText="1"/>
      <protection locked="0"/>
    </xf>
    <xf numFmtId="178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179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6" fillId="0" borderId="1" xfId="50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50" applyFont="1" applyFill="1" applyBorder="1" applyAlignment="1" applyProtection="1">
      <alignment horizontal="left" vertical="center" wrapText="1"/>
      <protection locked="0"/>
    </xf>
    <xf numFmtId="0" fontId="2" fillId="0" borderId="1" xfId="50" applyFont="1" applyFill="1" applyBorder="1" applyAlignment="1" applyProtection="1">
      <alignment horizontal="left" vertical="center" wrapText="1"/>
      <protection locked="0"/>
    </xf>
    <xf numFmtId="0" fontId="2" fillId="0" borderId="1" xfId="50" applyFont="1" applyFill="1" applyBorder="1" applyAlignment="1" applyProtection="1">
      <alignment horizontal="center" vertical="center" wrapText="1"/>
      <protection locked="0"/>
    </xf>
    <xf numFmtId="0" fontId="2" fillId="0" borderId="2" xfId="50" applyFont="1" applyFill="1" applyBorder="1" applyAlignment="1" applyProtection="1">
      <alignment horizontal="center" vertical="center" wrapText="1"/>
      <protection locked="0"/>
    </xf>
    <xf numFmtId="49" fontId="6" fillId="0" borderId="1" xfId="53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53" applyNumberFormat="1" applyFont="1" applyFill="1" applyBorder="1" applyAlignment="1" applyProtection="1">
      <alignment horizontal="left" vertical="center" wrapText="1"/>
      <protection locked="0"/>
    </xf>
    <xf numFmtId="178" fontId="6" fillId="0" borderId="1" xfId="0" applyNumberFormat="1" applyFont="1" applyFill="1" applyBorder="1" applyAlignment="1">
      <alignment horizontal="center" vertical="center" wrapText="1"/>
    </xf>
    <xf numFmtId="180" fontId="6" fillId="0" borderId="1" xfId="0" applyNumberFormat="1" applyFont="1" applyFill="1" applyBorder="1" applyAlignment="1">
      <alignment horizontal="center" vertical="center" wrapText="1"/>
    </xf>
    <xf numFmtId="181" fontId="6" fillId="0" borderId="1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4" xfId="0" applyFont="1" applyFill="1" applyBorder="1" applyAlignment="1" applyProtection="1">
      <alignment horizontal="left" vertical="center" wrapText="1"/>
      <protection locked="0"/>
    </xf>
    <xf numFmtId="0" fontId="2" fillId="0" borderId="2" xfId="0" applyFont="1" applyFill="1" applyBorder="1" applyAlignment="1">
      <alignment horizontal="center" vertical="center"/>
    </xf>
    <xf numFmtId="177" fontId="2" fillId="0" borderId="2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 applyProtection="1">
      <alignment vertical="center" wrapText="1"/>
      <protection locked="0"/>
    </xf>
    <xf numFmtId="0" fontId="2" fillId="0" borderId="1" xfId="0" applyFont="1" applyFill="1" applyBorder="1" applyAlignment="1" applyProtection="1">
      <alignment horizontal="left" vertical="center" wrapText="1"/>
      <protection locked="0"/>
    </xf>
    <xf numFmtId="0" fontId="2" fillId="0" borderId="1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Fill="1" applyBorder="1">
      <alignment vertical="center"/>
    </xf>
    <xf numFmtId="49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0" fontId="2" fillId="0" borderId="1" xfId="50" applyNumberFormat="1" applyFont="1" applyFill="1" applyBorder="1" applyAlignment="1" applyProtection="1">
      <alignment horizontal="center" vertical="center" wrapText="1"/>
      <protection locked="0"/>
    </xf>
    <xf numFmtId="0" fontId="2" fillId="0" borderId="2" xfId="50" applyNumberFormat="1" applyFont="1" applyFill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Fill="1" applyAlignment="1">
      <alignment horizontal="right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2" xfId="49"/>
    <cellStyle name="常规 2 2 2 3" xfId="50"/>
    <cellStyle name="常规 6_Sheet1" xfId="51"/>
    <cellStyle name="常规 14" xfId="52"/>
    <cellStyle name="常规 2" xfId="53"/>
    <cellStyle name="常规 2 8" xfId="54"/>
    <cellStyle name="常规 4 2" xfId="55"/>
  </cellStyles>
  <tableStyles count="0" defaultTableStyle="TableStyleMedium2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56"/>
  <sheetViews>
    <sheetView tabSelected="1" view="pageBreakPreview" zoomScaleNormal="115" workbookViewId="0">
      <pane xSplit="2" ySplit="6" topLeftCell="C51" activePane="bottomRight" state="frozen"/>
      <selection/>
      <selection pane="topRight"/>
      <selection pane="bottomLeft"/>
      <selection pane="bottomRight" activeCell="C21" sqref="C21"/>
    </sheetView>
  </sheetViews>
  <sheetFormatPr defaultColWidth="9" defaultRowHeight="13.5"/>
  <cols>
    <col min="1" max="1" width="7.26548672566372" style="6" customWidth="1"/>
    <col min="2" max="2" width="41.6283185840708" style="6" customWidth="1"/>
    <col min="3" max="3" width="34.5044247787611" style="6" customWidth="1"/>
    <col min="4" max="4" width="33.6283185840708" style="6" customWidth="1"/>
    <col min="5" max="5" width="8.3716814159292" style="6" customWidth="1"/>
    <col min="6" max="6" width="6.12389380530973" style="6" customWidth="1"/>
    <col min="7" max="7" width="6.3716814159292" style="6" customWidth="1"/>
    <col min="8" max="8" width="6.50442477876106" style="6" customWidth="1"/>
    <col min="9" max="9" width="5.87610619469027" style="6" customWidth="1"/>
    <col min="10" max="17" width="7.63716814159292" style="6" customWidth="1"/>
    <col min="18" max="16384" width="9" style="6"/>
  </cols>
  <sheetData>
    <row r="1" s="1" customFormat="1" ht="17.15" customHeight="1" spans="1:17">
      <c r="A1" s="7"/>
      <c r="B1" s="8"/>
      <c r="C1" s="8"/>
      <c r="D1" s="8"/>
      <c r="E1" s="9"/>
      <c r="F1" s="10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ht="28.5" customHeight="1" spans="1:17">
      <c r="A2" s="11" t="s">
        <v>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="1" customFormat="1" ht="15" customHeight="1" spans="1:17">
      <c r="A3" s="12"/>
      <c r="B3" s="8"/>
      <c r="C3" s="8"/>
      <c r="D3" s="8"/>
      <c r="E3" s="9"/>
      <c r="F3" s="10"/>
      <c r="G3" s="9"/>
      <c r="H3" s="9"/>
      <c r="I3" s="9"/>
      <c r="J3" s="9"/>
      <c r="K3" s="9"/>
      <c r="L3" s="9"/>
      <c r="M3" s="43" t="s">
        <v>1</v>
      </c>
      <c r="N3" s="43"/>
      <c r="O3" s="43"/>
      <c r="P3" s="43"/>
      <c r="Q3" s="43"/>
    </row>
    <row r="4" s="2" customFormat="1" ht="13.1" spans="1:17">
      <c r="A4" s="13" t="s">
        <v>2</v>
      </c>
      <c r="B4" s="14" t="s">
        <v>3</v>
      </c>
      <c r="C4" s="14" t="s">
        <v>4</v>
      </c>
      <c r="D4" s="14" t="s">
        <v>5</v>
      </c>
      <c r="E4" s="14" t="s">
        <v>6</v>
      </c>
      <c r="F4" s="14"/>
      <c r="G4" s="14"/>
      <c r="H4" s="14"/>
      <c r="I4" s="14"/>
      <c r="J4" s="14" t="s">
        <v>7</v>
      </c>
      <c r="K4" s="14"/>
      <c r="L4" s="14"/>
      <c r="M4" s="14"/>
      <c r="N4" s="14"/>
      <c r="O4" s="14"/>
      <c r="P4" s="14"/>
      <c r="Q4" s="14"/>
    </row>
    <row r="5" s="2" customFormat="1" ht="13.1" spans="1:17">
      <c r="A5" s="13"/>
      <c r="B5" s="14"/>
      <c r="C5" s="14"/>
      <c r="D5" s="14"/>
      <c r="E5" s="14" t="s">
        <v>8</v>
      </c>
      <c r="F5" s="15" t="s">
        <v>9</v>
      </c>
      <c r="G5" s="14" t="s">
        <v>10</v>
      </c>
      <c r="H5" s="14" t="s">
        <v>11</v>
      </c>
      <c r="I5" s="14" t="s">
        <v>12</v>
      </c>
      <c r="J5" s="14" t="s">
        <v>13</v>
      </c>
      <c r="K5" s="14" t="s">
        <v>14</v>
      </c>
      <c r="L5" s="14" t="s">
        <v>15</v>
      </c>
      <c r="M5" s="14" t="s">
        <v>16</v>
      </c>
      <c r="N5" s="14"/>
      <c r="O5" s="14" t="s">
        <v>17</v>
      </c>
      <c r="P5" s="14" t="s">
        <v>18</v>
      </c>
      <c r="Q5" s="14" t="s">
        <v>19</v>
      </c>
    </row>
    <row r="6" s="2" customFormat="1" ht="26.25" spans="1:17">
      <c r="A6" s="13"/>
      <c r="B6" s="14"/>
      <c r="C6" s="14"/>
      <c r="D6" s="14"/>
      <c r="E6" s="14"/>
      <c r="F6" s="15"/>
      <c r="G6" s="14"/>
      <c r="H6" s="14"/>
      <c r="I6" s="14"/>
      <c r="J6" s="14"/>
      <c r="K6" s="14"/>
      <c r="L6" s="14"/>
      <c r="M6" s="14" t="s">
        <v>20</v>
      </c>
      <c r="N6" s="14" t="s">
        <v>21</v>
      </c>
      <c r="O6" s="14"/>
      <c r="P6" s="14"/>
      <c r="Q6" s="14"/>
    </row>
    <row r="7" s="2" customFormat="1" ht="13.15" spans="1:17">
      <c r="A7" s="13"/>
      <c r="B7" s="16" t="s">
        <v>22</v>
      </c>
      <c r="C7" s="14"/>
      <c r="D7" s="14"/>
      <c r="E7" s="17">
        <f t="shared" ref="E7:Q7" si="0">E8+E9</f>
        <v>75</v>
      </c>
      <c r="F7" s="17"/>
      <c r="G7" s="17"/>
      <c r="H7" s="17"/>
      <c r="I7" s="17"/>
      <c r="J7" s="17">
        <f t="shared" si="0"/>
        <v>1199</v>
      </c>
      <c r="K7" s="17">
        <f t="shared" si="0"/>
        <v>9073</v>
      </c>
      <c r="L7" s="17">
        <f t="shared" si="0"/>
        <v>3391</v>
      </c>
      <c r="M7" s="17">
        <f t="shared" si="0"/>
        <v>1724</v>
      </c>
      <c r="N7" s="17">
        <f t="shared" si="0"/>
        <v>114</v>
      </c>
      <c r="O7" s="17">
        <f t="shared" si="0"/>
        <v>309</v>
      </c>
      <c r="P7" s="17">
        <f t="shared" si="0"/>
        <v>15696</v>
      </c>
      <c r="Q7" s="17">
        <f t="shared" si="0"/>
        <v>15810</v>
      </c>
    </row>
    <row r="8" s="2" customFormat="1" ht="13.15" spans="1:17">
      <c r="A8" s="13">
        <v>1</v>
      </c>
      <c r="B8" s="16" t="s">
        <v>23</v>
      </c>
      <c r="C8" s="14"/>
      <c r="D8" s="14"/>
      <c r="E8" s="17">
        <f>E13+E15+E18+E20+E22+E25+E28+E30+E32+E35</f>
        <v>55</v>
      </c>
      <c r="F8" s="17"/>
      <c r="G8" s="17"/>
      <c r="H8" s="17"/>
      <c r="I8" s="17"/>
      <c r="J8" s="17">
        <f>J13+J15+J18+J20+J22+J25+J28+J30+J32+J35</f>
        <v>831</v>
      </c>
      <c r="K8" s="17">
        <f t="shared" ref="K8:Q8" si="1">K13+K15+K18+K20+K22+K25+K28+K30+K32+K35</f>
        <v>7372</v>
      </c>
      <c r="L8" s="17">
        <f t="shared" si="1"/>
        <v>2712</v>
      </c>
      <c r="M8" s="17">
        <f t="shared" si="1"/>
        <v>1284</v>
      </c>
      <c r="N8" s="17">
        <f t="shared" si="1"/>
        <v>51</v>
      </c>
      <c r="O8" s="17">
        <f t="shared" si="1"/>
        <v>246</v>
      </c>
      <c r="P8" s="17">
        <f t="shared" si="1"/>
        <v>12445</v>
      </c>
      <c r="Q8" s="17">
        <f t="shared" si="1"/>
        <v>12536</v>
      </c>
    </row>
    <row r="9" s="2" customFormat="1" ht="13.15" spans="1:17">
      <c r="A9" s="13">
        <v>2</v>
      </c>
      <c r="B9" s="16" t="s">
        <v>24</v>
      </c>
      <c r="C9" s="14"/>
      <c r="D9" s="14"/>
      <c r="E9" s="17">
        <f>E39+E42+E44+E47+E50+E53+E55</f>
        <v>20</v>
      </c>
      <c r="F9" s="17"/>
      <c r="G9" s="17"/>
      <c r="H9" s="17"/>
      <c r="I9" s="17"/>
      <c r="J9" s="17">
        <f>J39+J42+J44+J47+J50+J53+J55</f>
        <v>368</v>
      </c>
      <c r="K9" s="17">
        <f t="shared" ref="J9:Q9" si="2">K39+K42+K44+K47+K50+K53+K55</f>
        <v>1701</v>
      </c>
      <c r="L9" s="17">
        <f t="shared" si="2"/>
        <v>679</v>
      </c>
      <c r="M9" s="17">
        <f t="shared" si="2"/>
        <v>440</v>
      </c>
      <c r="N9" s="17">
        <f t="shared" si="2"/>
        <v>63</v>
      </c>
      <c r="O9" s="17">
        <f t="shared" si="2"/>
        <v>63</v>
      </c>
      <c r="P9" s="17">
        <f t="shared" si="2"/>
        <v>3251</v>
      </c>
      <c r="Q9" s="17">
        <f t="shared" si="2"/>
        <v>3274</v>
      </c>
    </row>
    <row r="10" s="2" customFormat="1" ht="13.1" spans="1:17">
      <c r="A10" s="13"/>
      <c r="B10" s="16"/>
      <c r="C10" s="14"/>
      <c r="D10" s="14"/>
      <c r="E10" s="18"/>
      <c r="F10" s="15"/>
      <c r="G10" s="14"/>
      <c r="H10" s="14"/>
      <c r="I10" s="14"/>
      <c r="J10" s="15"/>
      <c r="K10" s="15"/>
      <c r="L10" s="15"/>
      <c r="M10" s="15"/>
      <c r="N10" s="15"/>
      <c r="O10" s="15"/>
      <c r="P10" s="15"/>
      <c r="Q10" s="15"/>
    </row>
    <row r="11" s="3" customFormat="1" ht="13.15" spans="1:17">
      <c r="A11" s="13"/>
      <c r="B11" s="16" t="s">
        <v>23</v>
      </c>
      <c r="C11" s="14"/>
      <c r="D11" s="14"/>
      <c r="E11" s="18"/>
      <c r="F11" s="15"/>
      <c r="G11" s="14"/>
      <c r="H11" s="14"/>
      <c r="I11" s="14"/>
      <c r="J11" s="15"/>
      <c r="K11" s="15"/>
      <c r="L11" s="15"/>
      <c r="M11" s="15"/>
      <c r="N11" s="15"/>
      <c r="O11" s="15"/>
      <c r="P11" s="15"/>
      <c r="Q11" s="15"/>
    </row>
    <row r="12" s="3" customFormat="1" ht="13.15" spans="1:17">
      <c r="A12" s="19" t="s">
        <v>25</v>
      </c>
      <c r="B12" s="20" t="s">
        <v>26</v>
      </c>
      <c r="C12" s="21"/>
      <c r="D12" s="21"/>
      <c r="E12" s="22"/>
      <c r="F12" s="22"/>
      <c r="G12" s="23"/>
      <c r="H12" s="23"/>
      <c r="I12" s="44"/>
      <c r="J12" s="44"/>
      <c r="K12" s="44"/>
      <c r="L12" s="44"/>
      <c r="M12" s="44"/>
      <c r="N12" s="44"/>
      <c r="O12" s="44"/>
      <c r="P12" s="44"/>
      <c r="Q12" s="44"/>
    </row>
    <row r="13" s="4" customFormat="1" ht="13.15" spans="1:17">
      <c r="A13" s="24" t="s">
        <v>27</v>
      </c>
      <c r="B13" s="20" t="s">
        <v>28</v>
      </c>
      <c r="C13" s="25"/>
      <c r="D13" s="25"/>
      <c r="E13" s="26">
        <v>5</v>
      </c>
      <c r="F13" s="27"/>
      <c r="G13" s="27"/>
      <c r="H13" s="28"/>
      <c r="I13" s="28"/>
      <c r="J13" s="26">
        <f t="shared" ref="J13:Q13" si="3">J14</f>
        <v>54</v>
      </c>
      <c r="K13" s="26">
        <f t="shared" si="3"/>
        <v>821</v>
      </c>
      <c r="L13" s="26">
        <f t="shared" si="3"/>
        <v>200</v>
      </c>
      <c r="M13" s="26">
        <f t="shared" si="3"/>
        <v>107</v>
      </c>
      <c r="N13" s="26">
        <f t="shared" si="3"/>
        <v>3</v>
      </c>
      <c r="O13" s="26">
        <f t="shared" si="3"/>
        <v>24</v>
      </c>
      <c r="P13" s="26">
        <f t="shared" si="3"/>
        <v>1206</v>
      </c>
      <c r="Q13" s="26">
        <f t="shared" si="3"/>
        <v>1215</v>
      </c>
    </row>
    <row r="14" s="4" customFormat="1" ht="141" customHeight="1" spans="1:17">
      <c r="A14" s="29" t="s">
        <v>29</v>
      </c>
      <c r="B14" s="30" t="s">
        <v>30</v>
      </c>
      <c r="C14" s="30" t="s">
        <v>31</v>
      </c>
      <c r="D14" s="30" t="s">
        <v>32</v>
      </c>
      <c r="E14" s="31">
        <v>5</v>
      </c>
      <c r="F14" s="32"/>
      <c r="G14" s="31"/>
      <c r="H14" s="31"/>
      <c r="I14" s="31"/>
      <c r="J14" s="31">
        <v>54</v>
      </c>
      <c r="K14" s="31">
        <v>821</v>
      </c>
      <c r="L14" s="31">
        <v>200</v>
      </c>
      <c r="M14" s="31">
        <v>107</v>
      </c>
      <c r="N14" s="31">
        <v>3</v>
      </c>
      <c r="O14" s="31">
        <v>24</v>
      </c>
      <c r="P14" s="45">
        <v>1206</v>
      </c>
      <c r="Q14" s="31">
        <v>1215</v>
      </c>
    </row>
    <row r="15" s="4" customFormat="1" ht="13.15" spans="1:17">
      <c r="A15" s="24" t="s">
        <v>33</v>
      </c>
      <c r="B15" s="20" t="s">
        <v>34</v>
      </c>
      <c r="C15" s="25"/>
      <c r="D15" s="25"/>
      <c r="E15" s="26">
        <v>5</v>
      </c>
      <c r="F15" s="27"/>
      <c r="G15" s="27"/>
      <c r="H15" s="28"/>
      <c r="I15" s="28"/>
      <c r="J15" s="26">
        <f t="shared" ref="J15:Q15" si="4">J16</f>
        <v>51</v>
      </c>
      <c r="K15" s="26">
        <f t="shared" si="4"/>
        <v>769</v>
      </c>
      <c r="L15" s="26">
        <f t="shared" si="4"/>
        <v>277</v>
      </c>
      <c r="M15" s="26">
        <f t="shared" si="4"/>
        <v>119</v>
      </c>
      <c r="N15" s="26">
        <f t="shared" si="4"/>
        <v>3</v>
      </c>
      <c r="O15" s="26">
        <f t="shared" si="4"/>
        <v>24</v>
      </c>
      <c r="P15" s="26">
        <f t="shared" si="4"/>
        <v>1240</v>
      </c>
      <c r="Q15" s="26">
        <f t="shared" si="4"/>
        <v>1249</v>
      </c>
    </row>
    <row r="16" s="4" customFormat="1" ht="141" customHeight="1" spans="1:17">
      <c r="A16" s="29" t="s">
        <v>29</v>
      </c>
      <c r="B16" s="30" t="s">
        <v>35</v>
      </c>
      <c r="C16" s="30" t="s">
        <v>31</v>
      </c>
      <c r="D16" s="30" t="s">
        <v>36</v>
      </c>
      <c r="E16" s="31">
        <v>5</v>
      </c>
      <c r="F16" s="32"/>
      <c r="G16" s="31"/>
      <c r="H16" s="31"/>
      <c r="I16" s="31"/>
      <c r="J16" s="31">
        <v>51</v>
      </c>
      <c r="K16" s="31">
        <v>769</v>
      </c>
      <c r="L16" s="31">
        <v>277</v>
      </c>
      <c r="M16" s="31">
        <v>119</v>
      </c>
      <c r="N16" s="31">
        <v>3</v>
      </c>
      <c r="O16" s="31">
        <v>24</v>
      </c>
      <c r="P16" s="45">
        <v>1240</v>
      </c>
      <c r="Q16" s="31">
        <v>1249</v>
      </c>
    </row>
    <row r="17" s="3" customFormat="1" ht="13.15" spans="1:17">
      <c r="A17" s="19" t="s">
        <v>37</v>
      </c>
      <c r="B17" s="20" t="s">
        <v>38</v>
      </c>
      <c r="C17" s="21"/>
      <c r="D17" s="21"/>
      <c r="E17" s="22"/>
      <c r="F17" s="22"/>
      <c r="G17" s="23"/>
      <c r="H17" s="23"/>
      <c r="I17" s="44"/>
      <c r="J17" s="44"/>
      <c r="K17" s="44"/>
      <c r="L17" s="44"/>
      <c r="M17" s="44"/>
      <c r="N17" s="44"/>
      <c r="O17" s="44"/>
      <c r="P17" s="44"/>
      <c r="Q17" s="44"/>
    </row>
    <row r="18" s="3" customFormat="1" ht="13.15" spans="1:17">
      <c r="A18" s="24" t="s">
        <v>39</v>
      </c>
      <c r="B18" s="20" t="s">
        <v>40</v>
      </c>
      <c r="C18" s="20"/>
      <c r="D18" s="20"/>
      <c r="E18" s="33">
        <f>E19</f>
        <v>5</v>
      </c>
      <c r="F18" s="33"/>
      <c r="G18" s="33"/>
      <c r="H18" s="33"/>
      <c r="I18" s="33"/>
      <c r="J18" s="33">
        <f t="shared" ref="J18:Q18" si="5">J19</f>
        <v>80</v>
      </c>
      <c r="K18" s="33">
        <f t="shared" si="5"/>
        <v>722</v>
      </c>
      <c r="L18" s="33">
        <f t="shared" si="5"/>
        <v>260</v>
      </c>
      <c r="M18" s="33">
        <f t="shared" si="5"/>
        <v>131</v>
      </c>
      <c r="N18" s="33">
        <f t="shared" si="5"/>
        <v>1</v>
      </c>
      <c r="O18" s="33">
        <f t="shared" si="5"/>
        <v>24</v>
      </c>
      <c r="P18" s="33">
        <f t="shared" si="5"/>
        <v>1217</v>
      </c>
      <c r="Q18" s="33">
        <f t="shared" si="5"/>
        <v>1226</v>
      </c>
    </row>
    <row r="19" s="3" customFormat="1" ht="157" customHeight="1" spans="1:17">
      <c r="A19" s="29" t="s">
        <v>29</v>
      </c>
      <c r="B19" s="30" t="s">
        <v>41</v>
      </c>
      <c r="C19" s="30" t="s">
        <v>31</v>
      </c>
      <c r="D19" s="30" t="s">
        <v>42</v>
      </c>
      <c r="E19" s="31">
        <v>5</v>
      </c>
      <c r="F19" s="32"/>
      <c r="G19" s="31"/>
      <c r="H19" s="31"/>
      <c r="I19" s="31"/>
      <c r="J19" s="45">
        <v>80</v>
      </c>
      <c r="K19" s="45">
        <v>722</v>
      </c>
      <c r="L19" s="45">
        <v>260</v>
      </c>
      <c r="M19" s="45">
        <v>131</v>
      </c>
      <c r="N19" s="31">
        <v>1</v>
      </c>
      <c r="O19" s="31">
        <v>24</v>
      </c>
      <c r="P19" s="45">
        <v>1217</v>
      </c>
      <c r="Q19" s="31">
        <v>1226</v>
      </c>
    </row>
    <row r="20" s="3" customFormat="1" ht="13.15" spans="1:17">
      <c r="A20" s="24" t="s">
        <v>43</v>
      </c>
      <c r="B20" s="20" t="s">
        <v>44</v>
      </c>
      <c r="C20" s="20"/>
      <c r="D20" s="20"/>
      <c r="E20" s="33">
        <f>E21</f>
        <v>5</v>
      </c>
      <c r="F20" s="33"/>
      <c r="G20" s="33"/>
      <c r="H20" s="33"/>
      <c r="I20" s="33"/>
      <c r="J20" s="33">
        <f t="shared" ref="J20:N20" si="6">J21</f>
        <v>141</v>
      </c>
      <c r="K20" s="33">
        <f t="shared" si="6"/>
        <v>491</v>
      </c>
      <c r="L20" s="33">
        <f t="shared" si="6"/>
        <v>361</v>
      </c>
      <c r="M20" s="33">
        <f t="shared" si="6"/>
        <v>135</v>
      </c>
      <c r="N20" s="33">
        <f t="shared" si="6"/>
        <v>6</v>
      </c>
      <c r="O20" s="33">
        <f t="shared" ref="O20:Q20" si="7">O21</f>
        <v>23</v>
      </c>
      <c r="P20" s="33">
        <f t="shared" si="7"/>
        <v>1151</v>
      </c>
      <c r="Q20" s="33">
        <f t="shared" si="7"/>
        <v>1159</v>
      </c>
    </row>
    <row r="21" s="3" customFormat="1" ht="141" customHeight="1" spans="1:17">
      <c r="A21" s="29" t="s">
        <v>29</v>
      </c>
      <c r="B21" s="30" t="s">
        <v>45</v>
      </c>
      <c r="C21" s="30" t="s">
        <v>46</v>
      </c>
      <c r="D21" s="30" t="s">
        <v>47</v>
      </c>
      <c r="E21" s="31">
        <v>5</v>
      </c>
      <c r="F21" s="32"/>
      <c r="G21" s="31"/>
      <c r="H21" s="31"/>
      <c r="I21" s="31"/>
      <c r="J21" s="45">
        <v>141</v>
      </c>
      <c r="K21" s="45">
        <v>491</v>
      </c>
      <c r="L21" s="45">
        <v>361</v>
      </c>
      <c r="M21" s="45">
        <v>135</v>
      </c>
      <c r="N21" s="45">
        <v>6</v>
      </c>
      <c r="O21" s="45">
        <v>23</v>
      </c>
      <c r="P21" s="45">
        <v>1151</v>
      </c>
      <c r="Q21" s="45">
        <v>1159</v>
      </c>
    </row>
    <row r="22" s="3" customFormat="1" ht="13.15" spans="1:17">
      <c r="A22" s="24" t="s">
        <v>48</v>
      </c>
      <c r="B22" s="20" t="s">
        <v>49</v>
      </c>
      <c r="C22" s="20"/>
      <c r="D22" s="20"/>
      <c r="E22" s="33">
        <f>E23</f>
        <v>5</v>
      </c>
      <c r="F22" s="33"/>
      <c r="G22" s="33"/>
      <c r="H22" s="33"/>
      <c r="I22" s="33"/>
      <c r="J22" s="33">
        <f t="shared" ref="J22:Q22" si="8">J23</f>
        <v>60</v>
      </c>
      <c r="K22" s="33">
        <f t="shared" si="8"/>
        <v>771</v>
      </c>
      <c r="L22" s="33">
        <f t="shared" si="8"/>
        <v>222</v>
      </c>
      <c r="M22" s="33">
        <f t="shared" si="8"/>
        <v>125</v>
      </c>
      <c r="N22" s="33"/>
      <c r="O22" s="33">
        <f t="shared" si="8"/>
        <v>24</v>
      </c>
      <c r="P22" s="33">
        <f t="shared" si="8"/>
        <v>1202</v>
      </c>
      <c r="Q22" s="33">
        <f t="shared" si="8"/>
        <v>1210</v>
      </c>
    </row>
    <row r="23" s="3" customFormat="1" ht="141" customHeight="1" spans="1:17">
      <c r="A23" s="29" t="s">
        <v>29</v>
      </c>
      <c r="B23" s="30" t="s">
        <v>50</v>
      </c>
      <c r="C23" s="30" t="s">
        <v>31</v>
      </c>
      <c r="D23" s="30" t="s">
        <v>51</v>
      </c>
      <c r="E23" s="31">
        <v>5</v>
      </c>
      <c r="F23" s="32"/>
      <c r="G23" s="31"/>
      <c r="H23" s="31"/>
      <c r="I23" s="31"/>
      <c r="J23" s="45">
        <v>60</v>
      </c>
      <c r="K23" s="45">
        <v>771</v>
      </c>
      <c r="L23" s="45">
        <v>222</v>
      </c>
      <c r="M23" s="45">
        <v>125</v>
      </c>
      <c r="N23" s="45"/>
      <c r="O23" s="45">
        <v>24</v>
      </c>
      <c r="P23" s="45">
        <v>1202</v>
      </c>
      <c r="Q23" s="45">
        <v>1210</v>
      </c>
    </row>
    <row r="24" s="3" customFormat="1" ht="13.15" spans="1:17">
      <c r="A24" s="19" t="s">
        <v>52</v>
      </c>
      <c r="B24" s="20" t="s">
        <v>53</v>
      </c>
      <c r="C24" s="21"/>
      <c r="D24" s="21"/>
      <c r="E24" s="22"/>
      <c r="F24" s="22"/>
      <c r="G24" s="23"/>
      <c r="H24" s="23"/>
      <c r="I24" s="44"/>
      <c r="J24" s="44"/>
      <c r="K24" s="44"/>
      <c r="L24" s="44"/>
      <c r="M24" s="44"/>
      <c r="N24" s="44"/>
      <c r="O24" s="44"/>
      <c r="P24" s="44"/>
      <c r="Q24" s="44"/>
    </row>
    <row r="25" s="3" customFormat="1" ht="13.15" spans="1:17">
      <c r="A25" s="24" t="s">
        <v>54</v>
      </c>
      <c r="B25" s="20" t="s">
        <v>55</v>
      </c>
      <c r="C25" s="20"/>
      <c r="D25" s="20"/>
      <c r="E25" s="33">
        <f>E26</f>
        <v>5</v>
      </c>
      <c r="F25" s="33"/>
      <c r="G25" s="33"/>
      <c r="H25" s="33"/>
      <c r="I25" s="33"/>
      <c r="J25" s="33">
        <f t="shared" ref="J25:Q25" si="9">J26</f>
        <v>75</v>
      </c>
      <c r="K25" s="33">
        <f t="shared" si="9"/>
        <v>707</v>
      </c>
      <c r="L25" s="33">
        <f t="shared" si="9"/>
        <v>273</v>
      </c>
      <c r="M25" s="33">
        <f t="shared" si="9"/>
        <v>130</v>
      </c>
      <c r="N25" s="33">
        <f t="shared" si="9"/>
        <v>10</v>
      </c>
      <c r="O25" s="33">
        <f t="shared" si="9"/>
        <v>24</v>
      </c>
      <c r="P25" s="33">
        <f t="shared" si="9"/>
        <v>1209</v>
      </c>
      <c r="Q25" s="33">
        <f t="shared" si="9"/>
        <v>1218</v>
      </c>
    </row>
    <row r="26" s="3" customFormat="1" ht="141" customHeight="1" spans="1:17">
      <c r="A26" s="29" t="s">
        <v>29</v>
      </c>
      <c r="B26" s="30" t="s">
        <v>56</v>
      </c>
      <c r="C26" s="30" t="s">
        <v>31</v>
      </c>
      <c r="D26" s="30" t="s">
        <v>57</v>
      </c>
      <c r="E26" s="31">
        <v>5</v>
      </c>
      <c r="F26" s="32"/>
      <c r="G26" s="31"/>
      <c r="H26" s="31"/>
      <c r="I26" s="31"/>
      <c r="J26" s="31">
        <v>75</v>
      </c>
      <c r="K26" s="31">
        <v>707</v>
      </c>
      <c r="L26" s="31">
        <v>273</v>
      </c>
      <c r="M26" s="31">
        <v>130</v>
      </c>
      <c r="N26" s="31">
        <v>10</v>
      </c>
      <c r="O26" s="31">
        <v>24</v>
      </c>
      <c r="P26" s="45">
        <v>1209</v>
      </c>
      <c r="Q26" s="31">
        <v>1218</v>
      </c>
    </row>
    <row r="27" s="5" customFormat="1" ht="13.15" spans="1:17">
      <c r="A27" s="19" t="s">
        <v>58</v>
      </c>
      <c r="B27" s="20" t="s">
        <v>59</v>
      </c>
      <c r="C27" s="14"/>
      <c r="D27" s="14"/>
      <c r="E27" s="18"/>
      <c r="F27" s="15"/>
      <c r="G27" s="14"/>
      <c r="H27" s="14"/>
      <c r="I27" s="14"/>
      <c r="J27" s="15"/>
      <c r="K27" s="15"/>
      <c r="L27" s="15"/>
      <c r="M27" s="15"/>
      <c r="N27" s="15"/>
      <c r="O27" s="15"/>
      <c r="P27" s="15"/>
      <c r="Q27" s="15"/>
    </row>
    <row r="28" s="4" customFormat="1" ht="13.15" spans="1:17">
      <c r="A28" s="24" t="s">
        <v>60</v>
      </c>
      <c r="B28" s="20" t="s">
        <v>61</v>
      </c>
      <c r="C28" s="20"/>
      <c r="D28" s="20"/>
      <c r="E28" s="33">
        <f t="shared" ref="E28:E32" si="10">E29</f>
        <v>5</v>
      </c>
      <c r="F28" s="33"/>
      <c r="G28" s="33"/>
      <c r="H28" s="33"/>
      <c r="I28" s="33"/>
      <c r="J28" s="33">
        <f t="shared" ref="J28:Q28" si="11">J29</f>
        <v>87</v>
      </c>
      <c r="K28" s="33">
        <f t="shared" si="11"/>
        <v>791</v>
      </c>
      <c r="L28" s="33">
        <f t="shared" si="11"/>
        <v>202</v>
      </c>
      <c r="M28" s="33">
        <f t="shared" si="11"/>
        <v>115</v>
      </c>
      <c r="N28" s="33">
        <f t="shared" si="11"/>
        <v>5</v>
      </c>
      <c r="O28" s="33">
        <f t="shared" si="11"/>
        <v>24</v>
      </c>
      <c r="P28" s="33">
        <f t="shared" si="11"/>
        <v>1219</v>
      </c>
      <c r="Q28" s="33">
        <f t="shared" si="11"/>
        <v>1228</v>
      </c>
    </row>
    <row r="29" s="4" customFormat="1" ht="141" customHeight="1" spans="1:17">
      <c r="A29" s="29" t="s">
        <v>29</v>
      </c>
      <c r="B29" s="30" t="s">
        <v>62</v>
      </c>
      <c r="C29" s="30" t="s">
        <v>31</v>
      </c>
      <c r="D29" s="30" t="s">
        <v>63</v>
      </c>
      <c r="E29" s="31">
        <v>5</v>
      </c>
      <c r="F29" s="32"/>
      <c r="G29" s="31"/>
      <c r="H29" s="31"/>
      <c r="I29" s="31"/>
      <c r="J29" s="31">
        <v>87</v>
      </c>
      <c r="K29" s="31">
        <v>791</v>
      </c>
      <c r="L29" s="31">
        <v>202</v>
      </c>
      <c r="M29" s="31">
        <v>115</v>
      </c>
      <c r="N29" s="31">
        <v>5</v>
      </c>
      <c r="O29" s="31">
        <v>24</v>
      </c>
      <c r="P29" s="45">
        <v>1219</v>
      </c>
      <c r="Q29" s="31">
        <v>1228</v>
      </c>
    </row>
    <row r="30" s="4" customFormat="1" ht="13.15" spans="1:17">
      <c r="A30" s="24" t="s">
        <v>64</v>
      </c>
      <c r="B30" s="20" t="s">
        <v>65</v>
      </c>
      <c r="C30" s="20"/>
      <c r="D30" s="20"/>
      <c r="E30" s="33">
        <f t="shared" si="10"/>
        <v>5</v>
      </c>
      <c r="F30" s="33"/>
      <c r="G30" s="33"/>
      <c r="H30" s="33"/>
      <c r="I30" s="33"/>
      <c r="J30" s="33">
        <f t="shared" ref="J30:Q30" si="12">J31</f>
        <v>57</v>
      </c>
      <c r="K30" s="33">
        <f t="shared" si="12"/>
        <v>874</v>
      </c>
      <c r="L30" s="33">
        <f t="shared" si="12"/>
        <v>391</v>
      </c>
      <c r="M30" s="33">
        <f t="shared" si="12"/>
        <v>153</v>
      </c>
      <c r="N30" s="33">
        <f t="shared" si="12"/>
        <v>6</v>
      </c>
      <c r="O30" s="33">
        <f t="shared" si="12"/>
        <v>30</v>
      </c>
      <c r="P30" s="33">
        <f t="shared" si="12"/>
        <v>1505</v>
      </c>
      <c r="Q30" s="33">
        <f t="shared" si="12"/>
        <v>1516</v>
      </c>
    </row>
    <row r="31" s="4" customFormat="1" ht="141" customHeight="1" spans="1:17">
      <c r="A31" s="29" t="s">
        <v>29</v>
      </c>
      <c r="B31" s="30" t="s">
        <v>66</v>
      </c>
      <c r="C31" s="30" t="s">
        <v>67</v>
      </c>
      <c r="D31" s="30" t="s">
        <v>68</v>
      </c>
      <c r="E31" s="31">
        <v>5</v>
      </c>
      <c r="F31" s="32"/>
      <c r="G31" s="31"/>
      <c r="H31" s="31"/>
      <c r="I31" s="31"/>
      <c r="J31" s="31">
        <v>57</v>
      </c>
      <c r="K31" s="31">
        <v>874</v>
      </c>
      <c r="L31" s="31">
        <v>391</v>
      </c>
      <c r="M31" s="31">
        <v>153</v>
      </c>
      <c r="N31" s="31">
        <v>6</v>
      </c>
      <c r="O31" s="31">
        <v>30</v>
      </c>
      <c r="P31" s="45">
        <v>1505</v>
      </c>
      <c r="Q31" s="31">
        <v>1516</v>
      </c>
    </row>
    <row r="32" s="4" customFormat="1" ht="13.15" spans="1:17">
      <c r="A32" s="24" t="s">
        <v>69</v>
      </c>
      <c r="B32" s="20" t="s">
        <v>70</v>
      </c>
      <c r="C32" s="20"/>
      <c r="D32" s="20"/>
      <c r="E32" s="33">
        <f t="shared" si="10"/>
        <v>5</v>
      </c>
      <c r="F32" s="33"/>
      <c r="G32" s="33"/>
      <c r="H32" s="33"/>
      <c r="I32" s="33"/>
      <c r="J32" s="33">
        <f t="shared" ref="J32:Q32" si="13">J33</f>
        <v>132</v>
      </c>
      <c r="K32" s="33">
        <f t="shared" si="13"/>
        <v>644</v>
      </c>
      <c r="L32" s="33">
        <f t="shared" si="13"/>
        <v>243</v>
      </c>
      <c r="M32" s="33">
        <f t="shared" si="13"/>
        <v>119</v>
      </c>
      <c r="N32" s="33">
        <f t="shared" si="13"/>
        <v>5</v>
      </c>
      <c r="O32" s="33">
        <f t="shared" si="13"/>
        <v>23</v>
      </c>
      <c r="P32" s="33">
        <f t="shared" si="13"/>
        <v>1161</v>
      </c>
      <c r="Q32" s="33">
        <f t="shared" si="13"/>
        <v>1170</v>
      </c>
    </row>
    <row r="33" s="4" customFormat="1" ht="141" customHeight="1" spans="1:17">
      <c r="A33" s="29" t="s">
        <v>29</v>
      </c>
      <c r="B33" s="30" t="s">
        <v>71</v>
      </c>
      <c r="C33" s="30" t="s">
        <v>72</v>
      </c>
      <c r="D33" s="30" t="s">
        <v>73</v>
      </c>
      <c r="E33" s="31">
        <v>5</v>
      </c>
      <c r="F33" s="32"/>
      <c r="G33" s="31"/>
      <c r="H33" s="31"/>
      <c r="I33" s="31"/>
      <c r="J33" s="31">
        <v>132</v>
      </c>
      <c r="K33" s="31">
        <v>644</v>
      </c>
      <c r="L33" s="31">
        <v>243</v>
      </c>
      <c r="M33" s="31">
        <v>119</v>
      </c>
      <c r="N33" s="31">
        <v>5</v>
      </c>
      <c r="O33" s="31">
        <v>23</v>
      </c>
      <c r="P33" s="45">
        <v>1161</v>
      </c>
      <c r="Q33" s="31">
        <v>1170</v>
      </c>
    </row>
    <row r="34" s="3" customFormat="1" ht="13.15" spans="1:17">
      <c r="A34" s="19" t="s">
        <v>74</v>
      </c>
      <c r="B34" s="20" t="s">
        <v>75</v>
      </c>
      <c r="C34" s="21"/>
      <c r="D34" s="21"/>
      <c r="E34" s="22"/>
      <c r="F34" s="22"/>
      <c r="G34" s="23"/>
      <c r="H34" s="23"/>
      <c r="I34" s="44"/>
      <c r="J34" s="44"/>
      <c r="K34" s="44"/>
      <c r="L34" s="44"/>
      <c r="M34" s="44"/>
      <c r="N34" s="44"/>
      <c r="O34" s="44"/>
      <c r="P34" s="44"/>
      <c r="Q34" s="44"/>
    </row>
    <row r="35" s="4" customFormat="1" ht="26.25" spans="1:17">
      <c r="A35" s="24" t="s">
        <v>76</v>
      </c>
      <c r="B35" s="20" t="s">
        <v>77</v>
      </c>
      <c r="C35" s="20"/>
      <c r="D35" s="20"/>
      <c r="E35" s="33">
        <v>10</v>
      </c>
      <c r="F35" s="33"/>
      <c r="G35" s="28"/>
      <c r="H35" s="28"/>
      <c r="I35" s="28"/>
      <c r="J35" s="33">
        <f t="shared" ref="J35:Q35" si="14">J36</f>
        <v>94</v>
      </c>
      <c r="K35" s="33">
        <f t="shared" si="14"/>
        <v>782</v>
      </c>
      <c r="L35" s="33">
        <f t="shared" si="14"/>
        <v>283</v>
      </c>
      <c r="M35" s="33">
        <f t="shared" si="14"/>
        <v>150</v>
      </c>
      <c r="N35" s="33">
        <f t="shared" si="14"/>
        <v>12</v>
      </c>
      <c r="O35" s="33">
        <f t="shared" si="14"/>
        <v>26</v>
      </c>
      <c r="P35" s="33">
        <f t="shared" si="14"/>
        <v>1335</v>
      </c>
      <c r="Q35" s="33">
        <f t="shared" si="14"/>
        <v>1345</v>
      </c>
    </row>
    <row r="36" s="4" customFormat="1" ht="145" customHeight="1" spans="1:17">
      <c r="A36" s="29" t="s">
        <v>29</v>
      </c>
      <c r="B36" s="30" t="s">
        <v>78</v>
      </c>
      <c r="C36" s="30" t="s">
        <v>79</v>
      </c>
      <c r="D36" s="30" t="s">
        <v>80</v>
      </c>
      <c r="E36" s="31">
        <v>10</v>
      </c>
      <c r="F36" s="32"/>
      <c r="G36" s="31"/>
      <c r="H36" s="31"/>
      <c r="I36" s="31"/>
      <c r="J36" s="31">
        <v>94</v>
      </c>
      <c r="K36" s="31">
        <v>782</v>
      </c>
      <c r="L36" s="31">
        <v>283</v>
      </c>
      <c r="M36" s="31">
        <v>150</v>
      </c>
      <c r="N36" s="31">
        <v>12</v>
      </c>
      <c r="O36" s="31">
        <v>26</v>
      </c>
      <c r="P36" s="45">
        <v>1335</v>
      </c>
      <c r="Q36" s="31">
        <v>1345</v>
      </c>
    </row>
    <row r="37" s="2" customFormat="1" ht="13.15" spans="1:17">
      <c r="A37" s="13"/>
      <c r="B37" s="34" t="s">
        <v>24</v>
      </c>
      <c r="C37" s="35"/>
      <c r="D37" s="35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</row>
    <row r="38" s="3" customFormat="1" ht="13.15" spans="1:17">
      <c r="A38" s="13" t="s">
        <v>25</v>
      </c>
      <c r="B38" s="34" t="s">
        <v>81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</row>
    <row r="39" s="3" customFormat="1" ht="13.15" spans="1:17">
      <c r="A39" s="24" t="s">
        <v>27</v>
      </c>
      <c r="B39" s="20" t="s">
        <v>82</v>
      </c>
      <c r="C39" s="20"/>
      <c r="D39" s="20"/>
      <c r="E39" s="33">
        <f>E40</f>
        <v>4</v>
      </c>
      <c r="F39" s="33"/>
      <c r="G39" s="33"/>
      <c r="H39" s="33"/>
      <c r="I39" s="33"/>
      <c r="J39" s="33">
        <f t="shared" ref="J39:Q39" si="15">J40</f>
        <v>95</v>
      </c>
      <c r="K39" s="33">
        <f t="shared" si="15"/>
        <v>344</v>
      </c>
      <c r="L39" s="33">
        <f t="shared" si="15"/>
        <v>164</v>
      </c>
      <c r="M39" s="33">
        <f t="shared" si="15"/>
        <v>106</v>
      </c>
      <c r="N39" s="33">
        <f t="shared" si="15"/>
        <v>15</v>
      </c>
      <c r="O39" s="33">
        <f t="shared" si="15"/>
        <v>14</v>
      </c>
      <c r="P39" s="33">
        <f t="shared" si="15"/>
        <v>723</v>
      </c>
      <c r="Q39" s="33">
        <f t="shared" si="15"/>
        <v>728</v>
      </c>
    </row>
    <row r="40" s="3" customFormat="1" ht="141" customHeight="1" spans="1:17">
      <c r="A40" s="29" t="s">
        <v>29</v>
      </c>
      <c r="B40" s="30" t="s">
        <v>83</v>
      </c>
      <c r="C40" s="30" t="s">
        <v>84</v>
      </c>
      <c r="D40" s="30" t="s">
        <v>85</v>
      </c>
      <c r="E40" s="31">
        <v>4</v>
      </c>
      <c r="F40" s="32"/>
      <c r="G40" s="31"/>
      <c r="H40" s="31"/>
      <c r="I40" s="31"/>
      <c r="J40" s="31">
        <v>95</v>
      </c>
      <c r="K40" s="31">
        <v>344</v>
      </c>
      <c r="L40" s="31">
        <v>164</v>
      </c>
      <c r="M40" s="31">
        <v>106</v>
      </c>
      <c r="N40" s="31">
        <v>15</v>
      </c>
      <c r="O40" s="31">
        <v>14</v>
      </c>
      <c r="P40" s="45">
        <v>723</v>
      </c>
      <c r="Q40" s="31">
        <v>728</v>
      </c>
    </row>
    <row r="41" spans="1:17">
      <c r="A41" s="13" t="s">
        <v>37</v>
      </c>
      <c r="B41" s="34" t="s">
        <v>26</v>
      </c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</row>
    <row r="42" s="4" customFormat="1" ht="13.15" spans="1:17">
      <c r="A42" s="24" t="s">
        <v>33</v>
      </c>
      <c r="B42" s="20" t="s">
        <v>86</v>
      </c>
      <c r="C42" s="20"/>
      <c r="D42" s="20"/>
      <c r="E42" s="26">
        <f>SUM(E43)</f>
        <v>2</v>
      </c>
      <c r="F42" s="26"/>
      <c r="G42" s="26"/>
      <c r="H42" s="26"/>
      <c r="I42" s="26"/>
      <c r="J42" s="33">
        <f t="shared" ref="J42:Q42" si="16">J43</f>
        <v>45</v>
      </c>
      <c r="K42" s="33">
        <f t="shared" si="16"/>
        <v>161</v>
      </c>
      <c r="L42" s="33">
        <f t="shared" si="16"/>
        <v>69</v>
      </c>
      <c r="M42" s="33">
        <f t="shared" si="16"/>
        <v>41</v>
      </c>
      <c r="N42" s="33">
        <f t="shared" si="16"/>
        <v>5</v>
      </c>
      <c r="O42" s="33">
        <f t="shared" si="16"/>
        <v>6</v>
      </c>
      <c r="P42" s="33">
        <f t="shared" si="16"/>
        <v>322</v>
      </c>
      <c r="Q42" s="33">
        <f t="shared" si="16"/>
        <v>324</v>
      </c>
    </row>
    <row r="43" s="4" customFormat="1" ht="141" customHeight="1" spans="1:17">
      <c r="A43" s="38" t="s">
        <v>29</v>
      </c>
      <c r="B43" s="35" t="s">
        <v>87</v>
      </c>
      <c r="C43" s="35" t="s">
        <v>88</v>
      </c>
      <c r="D43" s="35" t="s">
        <v>89</v>
      </c>
      <c r="E43" s="39">
        <v>2</v>
      </c>
      <c r="F43" s="40"/>
      <c r="G43" s="39"/>
      <c r="H43" s="39"/>
      <c r="I43" s="39"/>
      <c r="J43" s="39">
        <v>45</v>
      </c>
      <c r="K43" s="39">
        <v>161</v>
      </c>
      <c r="L43" s="39">
        <v>69</v>
      </c>
      <c r="M43" s="39">
        <v>41</v>
      </c>
      <c r="N43" s="39">
        <v>5</v>
      </c>
      <c r="O43" s="39">
        <v>6</v>
      </c>
      <c r="P43" s="39">
        <v>322</v>
      </c>
      <c r="Q43" s="39">
        <v>324</v>
      </c>
    </row>
    <row r="44" s="4" customFormat="1" ht="13.15" spans="1:17">
      <c r="A44" s="24" t="s">
        <v>39</v>
      </c>
      <c r="B44" s="20" t="s">
        <v>90</v>
      </c>
      <c r="C44" s="20"/>
      <c r="D44" s="20"/>
      <c r="E44" s="33">
        <v>2</v>
      </c>
      <c r="F44" s="33"/>
      <c r="G44" s="28"/>
      <c r="H44" s="28"/>
      <c r="I44" s="28"/>
      <c r="J44" s="33">
        <f t="shared" ref="J44:Q44" si="17">J45</f>
        <v>43</v>
      </c>
      <c r="K44" s="33">
        <f t="shared" si="17"/>
        <v>162</v>
      </c>
      <c r="L44" s="33">
        <f t="shared" si="17"/>
        <v>57</v>
      </c>
      <c r="M44" s="33">
        <f t="shared" si="17"/>
        <v>45</v>
      </c>
      <c r="N44" s="33">
        <f t="shared" si="17"/>
        <v>11</v>
      </c>
      <c r="O44" s="33">
        <f t="shared" si="17"/>
        <v>6</v>
      </c>
      <c r="P44" s="33">
        <f t="shared" si="17"/>
        <v>313</v>
      </c>
      <c r="Q44" s="33">
        <f t="shared" si="17"/>
        <v>315</v>
      </c>
    </row>
    <row r="45" s="4" customFormat="1" ht="141" customHeight="1" spans="1:17">
      <c r="A45" s="29" t="s">
        <v>29</v>
      </c>
      <c r="B45" s="30" t="s">
        <v>91</v>
      </c>
      <c r="C45" s="30" t="s">
        <v>88</v>
      </c>
      <c r="D45" s="30" t="s">
        <v>89</v>
      </c>
      <c r="E45" s="31">
        <v>2</v>
      </c>
      <c r="F45" s="32"/>
      <c r="G45" s="31"/>
      <c r="H45" s="31"/>
      <c r="I45" s="46"/>
      <c r="J45" s="47">
        <v>43</v>
      </c>
      <c r="K45" s="47">
        <v>162</v>
      </c>
      <c r="L45" s="47">
        <v>57</v>
      </c>
      <c r="M45" s="47">
        <v>45</v>
      </c>
      <c r="N45" s="47">
        <v>11</v>
      </c>
      <c r="O45" s="47">
        <v>6</v>
      </c>
      <c r="P45" s="48">
        <v>313</v>
      </c>
      <c r="Q45" s="31">
        <v>315</v>
      </c>
    </row>
    <row r="46" s="3" customFormat="1" ht="13.15" spans="1:17">
      <c r="A46" s="13" t="s">
        <v>52</v>
      </c>
      <c r="B46" s="34" t="s">
        <v>38</v>
      </c>
      <c r="C46" s="35"/>
      <c r="D46" s="35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</row>
    <row r="47" s="3" customFormat="1" ht="13.15" spans="1:17">
      <c r="A47" s="24" t="s">
        <v>43</v>
      </c>
      <c r="B47" s="20" t="s">
        <v>92</v>
      </c>
      <c r="C47" s="20"/>
      <c r="D47" s="20"/>
      <c r="E47" s="33">
        <f>E48</f>
        <v>4</v>
      </c>
      <c r="F47" s="33"/>
      <c r="G47" s="33"/>
      <c r="H47" s="33"/>
      <c r="I47" s="33"/>
      <c r="J47" s="33">
        <f t="shared" ref="J47:Q47" si="18">J48</f>
        <v>30</v>
      </c>
      <c r="K47" s="33">
        <f t="shared" si="18"/>
        <v>303</v>
      </c>
      <c r="L47" s="33">
        <f t="shared" si="18"/>
        <v>131</v>
      </c>
      <c r="M47" s="33">
        <f t="shared" si="18"/>
        <v>74</v>
      </c>
      <c r="N47" s="33">
        <f t="shared" si="18"/>
        <v>12</v>
      </c>
      <c r="O47" s="33">
        <f t="shared" si="18"/>
        <v>11</v>
      </c>
      <c r="P47" s="33">
        <f t="shared" si="18"/>
        <v>549</v>
      </c>
      <c r="Q47" s="33">
        <f t="shared" si="18"/>
        <v>553</v>
      </c>
    </row>
    <row r="48" s="3" customFormat="1" ht="141" customHeight="1" spans="1:17">
      <c r="A48" s="29" t="s">
        <v>29</v>
      </c>
      <c r="B48" s="30" t="s">
        <v>93</v>
      </c>
      <c r="C48" s="30" t="s">
        <v>94</v>
      </c>
      <c r="D48" s="30" t="s">
        <v>95</v>
      </c>
      <c r="E48" s="31">
        <v>4</v>
      </c>
      <c r="F48" s="32"/>
      <c r="G48" s="31"/>
      <c r="H48" s="31"/>
      <c r="I48" s="31"/>
      <c r="J48" s="31">
        <v>30</v>
      </c>
      <c r="K48" s="31">
        <v>303</v>
      </c>
      <c r="L48" s="31">
        <v>131</v>
      </c>
      <c r="M48" s="31">
        <v>74</v>
      </c>
      <c r="N48" s="31">
        <v>12</v>
      </c>
      <c r="O48" s="31">
        <v>11</v>
      </c>
      <c r="P48" s="45">
        <v>549</v>
      </c>
      <c r="Q48" s="31">
        <v>553</v>
      </c>
    </row>
    <row r="49" s="4" customFormat="1" ht="13.15" spans="1:17">
      <c r="A49" s="19" t="s">
        <v>58</v>
      </c>
      <c r="B49" s="20" t="s">
        <v>59</v>
      </c>
      <c r="C49" s="21"/>
      <c r="D49" s="21"/>
      <c r="E49" s="41"/>
      <c r="F49" s="41"/>
      <c r="G49" s="42"/>
      <c r="H49" s="42"/>
      <c r="I49" s="44"/>
      <c r="J49" s="44"/>
      <c r="K49" s="44"/>
      <c r="L49" s="44"/>
      <c r="M49" s="44"/>
      <c r="N49" s="44"/>
      <c r="O49" s="44"/>
      <c r="P49" s="44"/>
      <c r="Q49" s="44"/>
    </row>
    <row r="50" s="4" customFormat="1" ht="13.15" spans="1:17">
      <c r="A50" s="24" t="s">
        <v>48</v>
      </c>
      <c r="B50" s="20" t="s">
        <v>96</v>
      </c>
      <c r="C50" s="20"/>
      <c r="D50" s="20"/>
      <c r="E50" s="33">
        <f t="shared" ref="E50:E55" si="19">E51</f>
        <v>4</v>
      </c>
      <c r="F50" s="33"/>
      <c r="G50" s="33"/>
      <c r="H50" s="33"/>
      <c r="I50" s="33"/>
      <c r="J50" s="33">
        <f t="shared" ref="J50:Q50" si="20">J51</f>
        <v>61</v>
      </c>
      <c r="K50" s="33">
        <f t="shared" si="20"/>
        <v>376</v>
      </c>
      <c r="L50" s="33">
        <f t="shared" si="20"/>
        <v>137</v>
      </c>
      <c r="M50" s="33">
        <f t="shared" si="20"/>
        <v>90</v>
      </c>
      <c r="N50" s="33">
        <f t="shared" si="20"/>
        <v>15</v>
      </c>
      <c r="O50" s="33">
        <f t="shared" si="20"/>
        <v>13</v>
      </c>
      <c r="P50" s="33">
        <f t="shared" si="20"/>
        <v>677</v>
      </c>
      <c r="Q50" s="33">
        <f t="shared" si="20"/>
        <v>682</v>
      </c>
    </row>
    <row r="51" s="4" customFormat="1" ht="141" customHeight="1" spans="1:17">
      <c r="A51" s="29" t="s">
        <v>29</v>
      </c>
      <c r="B51" s="30" t="s">
        <v>97</v>
      </c>
      <c r="C51" s="30" t="s">
        <v>98</v>
      </c>
      <c r="D51" s="30" t="s">
        <v>99</v>
      </c>
      <c r="E51" s="31">
        <v>4</v>
      </c>
      <c r="F51" s="32"/>
      <c r="G51" s="31"/>
      <c r="H51" s="31"/>
      <c r="I51" s="31"/>
      <c r="J51" s="31">
        <v>61</v>
      </c>
      <c r="K51" s="31">
        <v>376</v>
      </c>
      <c r="L51" s="31">
        <v>137</v>
      </c>
      <c r="M51" s="31">
        <v>90</v>
      </c>
      <c r="N51" s="31">
        <v>15</v>
      </c>
      <c r="O51" s="31">
        <v>13</v>
      </c>
      <c r="P51" s="45">
        <v>677</v>
      </c>
      <c r="Q51" s="31">
        <v>682</v>
      </c>
    </row>
    <row r="52" s="4" customFormat="1" ht="13.15" spans="1:17">
      <c r="A52" s="19" t="s">
        <v>74</v>
      </c>
      <c r="B52" s="20" t="s">
        <v>100</v>
      </c>
      <c r="C52" s="21"/>
      <c r="D52" s="21"/>
      <c r="E52" s="41"/>
      <c r="F52" s="41"/>
      <c r="G52" s="42"/>
      <c r="H52" s="42"/>
      <c r="I52" s="44"/>
      <c r="J52" s="44"/>
      <c r="K52" s="44"/>
      <c r="L52" s="44"/>
      <c r="M52" s="44"/>
      <c r="N52" s="44"/>
      <c r="O52" s="44"/>
      <c r="P52" s="44"/>
      <c r="Q52" s="44"/>
    </row>
    <row r="53" s="4" customFormat="1" ht="13.15" spans="1:17">
      <c r="A53" s="24" t="s">
        <v>54</v>
      </c>
      <c r="B53" s="20" t="s">
        <v>101</v>
      </c>
      <c r="C53" s="20"/>
      <c r="D53" s="20"/>
      <c r="E53" s="33">
        <f t="shared" si="19"/>
        <v>2</v>
      </c>
      <c r="F53" s="33"/>
      <c r="G53" s="33"/>
      <c r="H53" s="33"/>
      <c r="I53" s="33"/>
      <c r="J53" s="33">
        <f t="shared" ref="J53:Q53" si="21">J54</f>
        <v>75</v>
      </c>
      <c r="K53" s="33">
        <f t="shared" si="21"/>
        <v>162</v>
      </c>
      <c r="L53" s="33">
        <f t="shared" si="21"/>
        <v>70</v>
      </c>
      <c r="M53" s="33">
        <f t="shared" si="21"/>
        <v>50</v>
      </c>
      <c r="N53" s="33">
        <f t="shared" si="21"/>
        <v>3</v>
      </c>
      <c r="O53" s="33">
        <f t="shared" si="21"/>
        <v>7</v>
      </c>
      <c r="P53" s="33">
        <f t="shared" si="21"/>
        <v>364</v>
      </c>
      <c r="Q53" s="33">
        <f t="shared" si="21"/>
        <v>367</v>
      </c>
    </row>
    <row r="54" s="4" customFormat="1" ht="141" customHeight="1" spans="1:17">
      <c r="A54" s="29" t="s">
        <v>29</v>
      </c>
      <c r="B54" s="30" t="s">
        <v>102</v>
      </c>
      <c r="C54" s="30" t="s">
        <v>103</v>
      </c>
      <c r="D54" s="30" t="s">
        <v>104</v>
      </c>
      <c r="E54" s="31">
        <v>2</v>
      </c>
      <c r="F54" s="32"/>
      <c r="G54" s="31"/>
      <c r="H54" s="31"/>
      <c r="I54" s="31"/>
      <c r="J54" s="31">
        <v>75</v>
      </c>
      <c r="K54" s="31">
        <v>162</v>
      </c>
      <c r="L54" s="31">
        <v>70</v>
      </c>
      <c r="M54" s="31">
        <v>50</v>
      </c>
      <c r="N54" s="31">
        <v>3</v>
      </c>
      <c r="O54" s="31">
        <v>7</v>
      </c>
      <c r="P54" s="45">
        <v>364</v>
      </c>
      <c r="Q54" s="31">
        <v>367</v>
      </c>
    </row>
    <row r="55" s="4" customFormat="1" ht="13.15" spans="1:17">
      <c r="A55" s="24" t="s">
        <v>60</v>
      </c>
      <c r="B55" s="20" t="s">
        <v>105</v>
      </c>
      <c r="C55" s="20"/>
      <c r="D55" s="20"/>
      <c r="E55" s="33">
        <f t="shared" si="19"/>
        <v>2</v>
      </c>
      <c r="F55" s="33"/>
      <c r="G55" s="33"/>
      <c r="H55" s="33"/>
      <c r="I55" s="33"/>
      <c r="J55" s="33">
        <f t="shared" ref="J55:Q55" si="22">J56</f>
        <v>19</v>
      </c>
      <c r="K55" s="33">
        <f t="shared" si="22"/>
        <v>193</v>
      </c>
      <c r="L55" s="33">
        <f t="shared" si="22"/>
        <v>51</v>
      </c>
      <c r="M55" s="33">
        <f t="shared" si="22"/>
        <v>34</v>
      </c>
      <c r="N55" s="33">
        <f t="shared" si="22"/>
        <v>2</v>
      </c>
      <c r="O55" s="33">
        <f t="shared" si="22"/>
        <v>6</v>
      </c>
      <c r="P55" s="33">
        <f t="shared" si="22"/>
        <v>303</v>
      </c>
      <c r="Q55" s="33">
        <f t="shared" si="22"/>
        <v>305</v>
      </c>
    </row>
    <row r="56" s="4" customFormat="1" ht="141" customHeight="1" spans="1:17">
      <c r="A56" s="38" t="s">
        <v>29</v>
      </c>
      <c r="B56" s="35" t="s">
        <v>106</v>
      </c>
      <c r="C56" s="35" t="s">
        <v>107</v>
      </c>
      <c r="D56" s="35" t="s">
        <v>108</v>
      </c>
      <c r="E56" s="39">
        <v>2</v>
      </c>
      <c r="F56" s="40"/>
      <c r="G56" s="39"/>
      <c r="H56" s="39"/>
      <c r="I56" s="39"/>
      <c r="J56" s="39">
        <v>19</v>
      </c>
      <c r="K56" s="39">
        <v>193</v>
      </c>
      <c r="L56" s="39">
        <v>51</v>
      </c>
      <c r="M56" s="39">
        <v>34</v>
      </c>
      <c r="N56" s="39">
        <v>2</v>
      </c>
      <c r="O56" s="39">
        <v>6</v>
      </c>
      <c r="P56" s="39">
        <v>303</v>
      </c>
      <c r="Q56" s="39">
        <v>305</v>
      </c>
    </row>
  </sheetData>
  <mergeCells count="20">
    <mergeCell ref="A2:Q2"/>
    <mergeCell ref="M3:Q3"/>
    <mergeCell ref="E4:I4"/>
    <mergeCell ref="J4:Q4"/>
    <mergeCell ref="M5:N5"/>
    <mergeCell ref="A4:A6"/>
    <mergeCell ref="B4:B6"/>
    <mergeCell ref="C4:C6"/>
    <mergeCell ref="D4:D6"/>
    <mergeCell ref="E5:E6"/>
    <mergeCell ref="F5:F6"/>
    <mergeCell ref="G5:G6"/>
    <mergeCell ref="H5:H6"/>
    <mergeCell ref="I5:I6"/>
    <mergeCell ref="J5:J6"/>
    <mergeCell ref="K5:K6"/>
    <mergeCell ref="L5:L6"/>
    <mergeCell ref="O5:O6"/>
    <mergeCell ref="P5:P6"/>
    <mergeCell ref="Q5:Q6"/>
  </mergeCells>
  <printOptions horizontalCentered="1"/>
  <pageMargins left="0.700694444444445" right="0.700694444444445" top="0.751388888888889" bottom="0.751388888888889" header="0.297916666666667" footer="0.297916666666667"/>
  <pageSetup paperSize="9" scale="63" fitToHeight="0" orientation="landscape"/>
  <headerFooter/>
  <rowBreaks count="4" manualBreakCount="4">
    <brk id="19" max="16" man="1"/>
    <brk id="29" max="16" man="1"/>
    <brk id="40" max="16" man="1"/>
    <brk id="51" max="16" man="1"/>
  </rowBreaks>
  <ignoredErrors>
    <ignoredError sqref="A14" numberStoredAsText="1"/>
    <ignoredError sqref="E7 J7:Q7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</dc:creator>
  <cp:lastModifiedBy>metric</cp:lastModifiedBy>
  <dcterms:created xsi:type="dcterms:W3CDTF">2024-06-22T09:20:00Z</dcterms:created>
  <dcterms:modified xsi:type="dcterms:W3CDTF">2024-10-08T14:02:09Z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5FF64288D6F64A5289FD91A165398B48_12</vt:lpwstr>
  </property>
  <property fmtid="{D5CDD505-2E9C-101B-9397-08002B2CF9AE}" pid="4" name="KSOReadingLayout">
    <vt:bool>true</vt:bool>
  </property>
</Properties>
</file>